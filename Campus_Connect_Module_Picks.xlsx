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ule Picks"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4"/>
    </font>
    <font>
      <name val="Arial"/>
      <i val="1"/>
      <color rgb="00555555"/>
      <sz val="9"/>
    </font>
    <font>
      <name val="Arial"/>
      <b val="1"/>
      <sz val="10"/>
    </font>
    <font>
      <name val="Arial"/>
      <color rgb="000000FF"/>
      <sz val="10"/>
    </font>
    <font>
      <name val="Arial"/>
      <sz val="10"/>
    </font>
    <font>
      <name val="Arial"/>
      <b val="1"/>
      <color rgb="000000FF"/>
      <sz val="10"/>
    </font>
  </fonts>
  <fills count="4">
    <fill>
      <patternFill/>
    </fill>
    <fill>
      <patternFill patternType="gray125"/>
    </fill>
    <fill>
      <patternFill patternType="solid">
        <fgColor rgb="00FFF7CC"/>
      </patternFill>
    </fill>
    <fill>
      <patternFill patternType="solid">
        <fgColor rgb="00E8E6E1"/>
      </patternFill>
    </fill>
  </fills>
  <borders count="2">
    <border>
      <left/>
      <right/>
      <top/>
      <bottom/>
      <diagonal/>
    </border>
    <border>
      <left style="thin">
        <color rgb="00C9C6BF"/>
      </left>
      <right style="thin">
        <color rgb="00C9C6BF"/>
      </right>
      <top style="thin">
        <color rgb="00C9C6BF"/>
      </top>
      <bottom style="thin">
        <color rgb="00C9C6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 fontId="4" fillId="2" borderId="1" pivotButton="0" quotePrefix="0" xfId="0"/>
    <xf numFmtId="0" fontId="4" fillId="2" borderId="1" pivotButton="0" quotePrefix="0" xfId="0"/>
    <xf numFmtId="9" fontId="4" fillId="2" borderId="1" pivotButton="0" quotePrefix="0" xfId="0"/>
    <xf numFmtId="164" fontId="5" fillId="0" borderId="1" pivotButton="0" quotePrefix="0" xfId="0"/>
    <xf numFmtId="0" fontId="5" fillId="0" borderId="1" pivotButton="0" quotePrefix="0" xfId="0"/>
    <xf numFmtId="0" fontId="3" fillId="3" borderId="1" applyAlignment="1" pivotButton="0" quotePrefix="0" xfId="0">
      <alignment horizontal="center" vertical="center" wrapText="1"/>
    </xf>
    <xf numFmtId="0" fontId="6" fillId="2" borderId="1" applyAlignment="1" pivotButton="0" quotePrefix="0" xfId="0">
      <alignment horizontal="center" vertical="center" wrapText="1"/>
    </xf>
    <xf numFmtId="0" fontId="3" fillId="2" borderId="1" applyAlignment="1" pivotButton="0" quotePrefix="0" xfId="0">
      <alignment horizontal="center" vertical="center" wrapText="1"/>
    </xf>
    <xf numFmtId="164" fontId="4" fillId="0" borderId="1" applyAlignment="1" pivotButton="0" quotePrefix="0" xfId="0">
      <alignment horizontal="center"/>
    </xf>
    <xf numFmtId="164" fontId="5" fillId="0" borderId="1" applyAlignment="1" pivotButton="0" quotePrefix="0" xfId="0">
      <alignment horizontal="center"/>
    </xf>
    <xf numFmtId="0" fontId="5" fillId="2" borderId="1" applyAlignment="1" pivotButton="0" quotePrefix="0" xfId="0">
      <alignment horizontal="center"/>
    </xf>
    <xf numFmtId="0" fontId="5" fillId="0" borderId="1" applyAlignment="1" pivotButton="0" quotePrefix="0" xfId="0">
      <alignment horizontal="center"/>
    </xf>
    <xf numFmtId="0" fontId="3" fillId="0" borderId="1" pivotButton="0" quotePrefix="0" xfId="0"/>
    <xf numFmtId="0" fontId="5" fillId="0" borderId="0" pivotButton="0" quotePrefix="0" xfId="0"/>
  </cellXfs>
  <cellStyles count="1">
    <cellStyle name="Normal" xfId="0" builtinId="0" hidden="0"/>
  </cellStyles>
  <dxfs count="5">
    <dxf>
      <font>
        <name val="Arial"/>
        <b val="1"/>
        <color rgb="009C0006"/>
      </font>
      <fill>
        <patternFill patternType="solid">
          <fgColor rgb="00F4C7C9"/>
        </patternFill>
      </fill>
    </dxf>
    <dxf>
      <font>
        <name val="Arial"/>
        <color rgb="001F4E79"/>
      </font>
      <fill>
        <patternFill patternType="solid">
          <fgColor rgb="00D6E4F2"/>
        </patternFill>
      </fill>
    </dxf>
    <dxf>
      <fill>
        <patternFill patternType="solid">
          <fgColor rgb="00FBE2C4"/>
        </patternFill>
      </fill>
    </dxf>
    <dxf>
      <fill>
        <patternFill patternType="solid">
          <fgColor rgb="00F4C7C9"/>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Lead</author>
  </authors>
  <commentList>
    <comment ref="B5" authorId="0" shapeId="0">
      <text>
        <t>Split assumed equal across 7 people, as requested by the Lead.</t>
      </text>
    </comment>
    <comment ref="E5" authorId="0" shapeId="0">
      <text>
        <t>Assumption: 10 h/week each. 1 dev-day = 8 hours.</t>
      </text>
    </comment>
    <comment ref="B6" authorId="0" shapeId="0">
      <text>
        <t>Extra time to learn each tool well enough to explain what happens: docs, tutorials, small experiments. Juniors: 50-100%.</t>
      </text>
    </comment>
    <comment ref="B7" authorId="0" shapeId="0">
      <text>
        <t>Extra time for tests, error handling, edge cases, code review and docs, so the feature is reliable, not just working once.</t>
      </text>
    </comment>
    <comment ref="C11" authorId="0" shapeId="0">
      <text>
        <t>Time for an experienced developer to build the module from scratch (no starter code), using the API or library in column E. Column D adds the learning and reliability overheads (B6, B7).</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R69"/>
  <sheetViews>
    <sheetView workbookViewId="0">
      <pane xSplit="5" ySplit="11" topLeftCell="F12" activePane="bottomRight" state="frozen"/>
      <selection pane="topRight"/>
      <selection pane="bottomLeft"/>
      <selection pane="bottomRight" activeCell="A1" sqref="A1"/>
    </sheetView>
  </sheetViews>
  <sheetFormatPr baseColWidth="8" defaultRowHeight="15"/>
  <cols>
    <col width="30" customWidth="1" min="1" max="1"/>
    <col width="36" customWidth="1" min="2" max="2"/>
    <col hidden="1" width="12" customWidth="1" min="3" max="3"/>
    <col width="12" customWidth="1" min="4" max="4"/>
    <col width="3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8" customWidth="1" min="14" max="14"/>
    <col width="11" customWidth="1" min="15" max="15"/>
    <col width="26" customWidth="1" min="16" max="16"/>
    <col width="14" customWidth="1" min="17" max="17"/>
    <col width="10" customWidth="1" min="18" max="18"/>
  </cols>
  <sheetData>
    <row r="1">
      <c r="A1" s="1" t="inlineStr">
        <is>
          <t>Campus Connect: Module Picks</t>
        </is>
      </c>
    </row>
    <row r="2">
      <c r="A2" s="2" t="inlineStr">
        <is>
          <t>How to fill in: type your name in a yellow header cell (row 11), then in your column pick "Lead" or "Interested" from the dropdown for any module. Leave it empty if you're not interested. The Lead fills the Owner column (yellow, right) at the team meeting.</t>
        </is>
      </c>
    </row>
    <row r="3">
      <c r="A3" s="2" t="inlineStr">
        <is>
          <t>Example: in the Posts row, someone who wants to lead it picks Lead in their column; someone who would help picks Interested. Blue numbers and yellow cells are inputs the team can change.</t>
        </is>
      </c>
    </row>
    <row r="5">
      <c r="A5" s="3" t="inlineStr">
        <is>
          <t>People sharing the work</t>
        </is>
      </c>
      <c r="B5" s="4" t="n">
        <v>7</v>
      </c>
      <c r="D5" s="3" t="inlineStr">
        <is>
          <t>Hours per week per person</t>
        </is>
      </c>
      <c r="E5" s="5" t="n">
        <v>10</v>
      </c>
    </row>
    <row r="6">
      <c r="A6" s="3" t="inlineStr">
        <is>
          <t>Learning overhead (juniors)</t>
        </is>
      </c>
      <c r="B6" s="6" t="n">
        <v>0.75</v>
      </c>
      <c r="D6" s="3" t="inlineStr">
        <is>
          <t>Weeks (Winter term)</t>
        </is>
      </c>
      <c r="E6" s="5" t="n">
        <v>13</v>
      </c>
    </row>
    <row r="7">
      <c r="A7" s="3" t="inlineStr">
        <is>
          <t>Reliability overhead</t>
        </is>
      </c>
      <c r="B7" s="6" t="n">
        <v>0.5</v>
      </c>
      <c r="D7" s="3" t="inlineStr">
        <is>
          <t>Available dev-days per person</t>
        </is>
      </c>
      <c r="E7" s="7">
        <f>E5*E6/8</f>
        <v/>
      </c>
    </row>
    <row r="8">
      <c r="A8" s="3" t="inlineStr">
        <is>
          <t>Total estimated work (dev-days)</t>
        </is>
      </c>
      <c r="B8" s="7">
        <f>SUM(D12:D61)</f>
        <v/>
      </c>
      <c r="D8" s="3" t="inlineStr">
        <is>
          <t>Does the plan fit?</t>
        </is>
      </c>
      <c r="E8" s="8">
        <f>IF(B9&lt;=E7,"Fits ("&amp;TEXT(E7-B9,"0.0")&amp;" days spare)","Over by "&amp;TEXT(B9-E7,"0.0")&amp;" days per person")</f>
        <v/>
      </c>
    </row>
    <row r="9">
      <c r="A9" s="3" t="inlineStr">
        <is>
          <t>Fair share per person (dev-days)</t>
        </is>
      </c>
      <c r="B9" s="7">
        <f>B8/B5</f>
        <v/>
      </c>
    </row>
    <row r="11" ht="42" customHeight="1">
      <c r="A11" s="9" t="inlineStr">
        <is>
          <t>Section</t>
        </is>
      </c>
      <c r="B11" s="9" t="inlineStr">
        <is>
          <t>Module</t>
        </is>
      </c>
      <c r="C11" s="9" t="inlineStr">
        <is>
          <t>Base days (API integration)</t>
        </is>
      </c>
      <c r="D11" s="9" t="inlineStr">
        <is>
          <t>Est. days (junior + reliable)</t>
        </is>
      </c>
      <c r="E11" s="9" t="inlineStr">
        <is>
          <t>Uses (API / library)</t>
        </is>
      </c>
      <c r="F11" s="10" t="inlineStr">
        <is>
          <t>Person 1</t>
        </is>
      </c>
      <c r="G11" s="10" t="inlineStr">
        <is>
          <t>Person 2</t>
        </is>
      </c>
      <c r="H11" s="10" t="inlineStr">
        <is>
          <t>Person 3</t>
        </is>
      </c>
      <c r="I11" s="10" t="inlineStr">
        <is>
          <t>Person 4</t>
        </is>
      </c>
      <c r="J11" s="10" t="inlineStr">
        <is>
          <t>Person 5</t>
        </is>
      </c>
      <c r="K11" s="10" t="inlineStr">
        <is>
          <t>Person 6</t>
        </is>
      </c>
      <c r="L11" s="10" t="inlineStr">
        <is>
          <t>Person 7</t>
        </is>
      </c>
      <c r="M11" s="10" t="inlineStr">
        <is>
          <t>Person 8</t>
        </is>
      </c>
      <c r="N11" s="9" t="inlineStr">
        <is>
          <t># Lead</t>
        </is>
      </c>
      <c r="O11" s="9" t="inlineStr">
        <is>
          <t># Interested</t>
        </is>
      </c>
      <c r="P11" s="9" t="inlineStr">
        <is>
          <t>Wants to lead</t>
        </is>
      </c>
      <c r="Q11" s="11" t="inlineStr">
        <is>
          <t>Owner</t>
        </is>
      </c>
      <c r="R11" s="9" t="inlineStr">
        <is>
          <t>Status</t>
        </is>
      </c>
    </row>
    <row r="12">
      <c r="A12" s="8" t="inlineStr">
        <is>
          <t>Shared layers and infrastructure</t>
        </is>
      </c>
      <c r="B12" s="8" t="inlineStr">
        <is>
          <t>Testing and CI</t>
        </is>
      </c>
      <c r="C12" s="12" t="n">
        <v>3</v>
      </c>
      <c r="D12" s="13">
        <f>C12*(1+$B$6)*(1+$B$7)</f>
        <v/>
      </c>
      <c r="E12" s="8" t="inlineStr">
        <is>
          <t>JUnit, Jest, GitHub Actions</t>
        </is>
      </c>
      <c r="F12" s="14" t="n"/>
      <c r="G12" s="14" t="n"/>
      <c r="H12" s="14" t="n"/>
      <c r="I12" s="14" t="n"/>
      <c r="J12" s="14" t="n"/>
      <c r="K12" s="14" t="n"/>
      <c r="L12" s="14" t="n"/>
      <c r="M12" s="14" t="n"/>
      <c r="N12" s="15">
        <f>COUNTIF(F12:M12,"Lead")</f>
        <v/>
      </c>
      <c r="O12" s="15">
        <f>COUNTIF(F12:M12,"Interested")</f>
        <v/>
      </c>
      <c r="P12" s="8">
        <f>_xlfn.TEXTJOIN(", ",TRUE,IF(F12="Lead",F$11,""),IF(G12="Lead",G$11,""),IF(H12="Lead",H$11,""),IF(I12="Lead",I$11,""),IF(J12="Lead",J$11,""),IF(K12="Lead",K$11,""),IF(L12="Lead",L$11,""),IF(M12="Lead",M$11,""))</f>
        <v/>
      </c>
      <c r="Q12" s="14" t="n"/>
      <c r="R12" s="8">
        <f>IF(Q12&lt;&gt;"","Assigned",IF(N12=0,IF(O12=0,"Nobody","No lead"),IF(N12&gt;1,"Clash","1 lead")))</f>
        <v/>
      </c>
    </row>
    <row r="13">
      <c r="A13" s="8" t="inlineStr">
        <is>
          <t>Shared layers and infrastructure</t>
        </is>
      </c>
      <c r="B13" s="8" t="inlineStr">
        <is>
          <t>Performance / load testing</t>
        </is>
      </c>
      <c r="C13" s="12" t="n">
        <v>2</v>
      </c>
      <c r="D13" s="13">
        <f>C13*(1+$B$6)*(1+$B$7)</f>
        <v/>
      </c>
      <c r="E13" s="8" t="inlineStr">
        <is>
          <t>k6</t>
        </is>
      </c>
      <c r="F13" s="14" t="n"/>
      <c r="G13" s="14" t="n"/>
      <c r="H13" s="14" t="n"/>
      <c r="I13" s="14" t="n"/>
      <c r="J13" s="14" t="n"/>
      <c r="K13" s="14" t="n"/>
      <c r="L13" s="14" t="n"/>
      <c r="M13" s="14" t="n"/>
      <c r="N13" s="15">
        <f>COUNTIF(F13:M13,"Lead")</f>
        <v/>
      </c>
      <c r="O13" s="15">
        <f>COUNTIF(F13:M13,"Interested")</f>
        <v/>
      </c>
      <c r="P13" s="8">
        <f>_xlfn.TEXTJOIN(", ",TRUE,IF(F13="Lead",F$11,""),IF(G13="Lead",G$11,""),IF(H13="Lead",H$11,""),IF(I13="Lead",I$11,""),IF(J13="Lead",J$11,""),IF(K13="Lead",K$11,""),IF(L13="Lead",L$11,""),IF(M13="Lead",M$11,""))</f>
        <v/>
      </c>
      <c r="Q13" s="14" t="n"/>
      <c r="R13" s="8">
        <f>IF(Q13&lt;&gt;"","Assigned",IF(N13=0,IF(O13=0,"Nobody","No lead"),IF(N13&gt;1,"Clash","1 lead")))</f>
        <v/>
      </c>
    </row>
    <row r="14">
      <c r="A14" s="8" t="inlineStr">
        <is>
          <t>Shared layers and infrastructure</t>
        </is>
      </c>
      <c r="B14" s="8" t="inlineStr">
        <is>
          <t>Cache layer (Yantian is leading)</t>
        </is>
      </c>
      <c r="C14" s="12" t="n">
        <v>2</v>
      </c>
      <c r="D14" s="13">
        <f>C14*(1+$B$6)*(1+$B$7)</f>
        <v/>
      </c>
      <c r="E14" s="8" t="inlineStr">
        <is>
          <t>Spring Cache + Caffeine / Redis</t>
        </is>
      </c>
      <c r="F14" s="14" t="n"/>
      <c r="G14" s="14" t="n"/>
      <c r="H14" s="14" t="n"/>
      <c r="I14" s="14" t="n"/>
      <c r="J14" s="14" t="n"/>
      <c r="K14" s="14" t="n"/>
      <c r="L14" s="14" t="n"/>
      <c r="M14" s="14" t="n"/>
      <c r="N14" s="15">
        <f>COUNTIF(F14:M14,"Lead")</f>
        <v/>
      </c>
      <c r="O14" s="15">
        <f>COUNTIF(F14:M14,"Interested")</f>
        <v/>
      </c>
      <c r="P14" s="8">
        <f>_xlfn.TEXTJOIN(", ",TRUE,IF(F14="Lead",F$11,""),IF(G14="Lead",G$11,""),IF(H14="Lead",H$11,""),IF(I14="Lead",I$11,""),IF(J14="Lead",J$11,""),IF(K14="Lead",K$11,""),IF(L14="Lead",L$11,""),IF(M14="Lead",M$11,""))</f>
        <v/>
      </c>
      <c r="Q14" s="14" t="n"/>
      <c r="R14" s="8">
        <f>IF(Q14&lt;&gt;"","Assigned",IF(N14=0,IF(O14=0,"Nobody","No lead"),IF(N14&gt;1,"Clash","1 lead")))</f>
        <v/>
      </c>
    </row>
    <row r="15">
      <c r="A15" s="8" t="inlineStr">
        <is>
          <t>Shared layers and infrastructure</t>
        </is>
      </c>
      <c r="B15" s="8" t="inlineStr">
        <is>
          <t>Message queue (MQ) layer</t>
        </is>
      </c>
      <c r="C15" s="12" t="n">
        <v>4</v>
      </c>
      <c r="D15" s="13">
        <f>C15*(1+$B$6)*(1+$B$7)</f>
        <v/>
      </c>
      <c r="E15" s="8" t="inlineStr">
        <is>
          <t>Kafka or RabbitMQ</t>
        </is>
      </c>
      <c r="F15" s="14" t="n"/>
      <c r="G15" s="14" t="n"/>
      <c r="H15" s="14" t="n"/>
      <c r="I15" s="14" t="n"/>
      <c r="J15" s="14" t="n"/>
      <c r="K15" s="14" t="n"/>
      <c r="L15" s="14" t="n"/>
      <c r="M15" s="14" t="n"/>
      <c r="N15" s="15">
        <f>COUNTIF(F15:M15,"Lead")</f>
        <v/>
      </c>
      <c r="O15" s="15">
        <f>COUNTIF(F15:M15,"Interested")</f>
        <v/>
      </c>
      <c r="P15" s="8">
        <f>_xlfn.TEXTJOIN(", ",TRUE,IF(F15="Lead",F$11,""),IF(G15="Lead",G$11,""),IF(H15="Lead",H$11,""),IF(I15="Lead",I$11,""),IF(J15="Lead",J$11,""),IF(K15="Lead",K$11,""),IF(L15="Lead",L$11,""),IF(M15="Lead",M$11,""))</f>
        <v/>
      </c>
      <c r="Q15" s="14" t="n"/>
      <c r="R15" s="8">
        <f>IF(Q15&lt;&gt;"","Assigned",IF(N15=0,IF(O15=0,"Nobody","No lead"),IF(N15&gt;1,"Clash","1 lead")))</f>
        <v/>
      </c>
    </row>
    <row r="16">
      <c r="A16" s="8" t="inlineStr">
        <is>
          <t>Shared layers and infrastructure</t>
        </is>
      </c>
      <c r="B16" s="8" t="inlineStr">
        <is>
          <t>Database design (tables and schema)</t>
        </is>
      </c>
      <c r="C16" s="12" t="n">
        <v>3</v>
      </c>
      <c r="D16" s="13">
        <f>C16*(1+$B$6)*(1+$B$7)</f>
        <v/>
      </c>
      <c r="E16" s="8" t="inlineStr">
        <is>
          <t>MySQL</t>
        </is>
      </c>
      <c r="F16" s="14" t="n"/>
      <c r="G16" s="14" t="n"/>
      <c r="H16" s="14" t="n"/>
      <c r="I16" s="14" t="n"/>
      <c r="J16" s="14" t="n"/>
      <c r="K16" s="14" t="n"/>
      <c r="L16" s="14" t="n"/>
      <c r="M16" s="14" t="n"/>
      <c r="N16" s="15">
        <f>COUNTIF(F16:M16,"Lead")</f>
        <v/>
      </c>
      <c r="O16" s="15">
        <f>COUNTIF(F16:M16,"Interested")</f>
        <v/>
      </c>
      <c r="P16" s="8">
        <f>_xlfn.TEXTJOIN(", ",TRUE,IF(F16="Lead",F$11,""),IF(G16="Lead",G$11,""),IF(H16="Lead",H$11,""),IF(I16="Lead",I$11,""),IF(J16="Lead",J$11,""),IF(K16="Lead",K$11,""),IF(L16="Lead",L$11,""),IF(M16="Lead",M$11,""))</f>
        <v/>
      </c>
      <c r="Q16" s="14" t="n"/>
      <c r="R16" s="8">
        <f>IF(Q16&lt;&gt;"","Assigned",IF(N16=0,IF(O16=0,"Nobody","No lead"),IF(N16&gt;1,"Clash","1 lead")))</f>
        <v/>
      </c>
    </row>
    <row r="17">
      <c r="A17" s="8" t="inlineStr">
        <is>
          <t>Shared layers and infrastructure</t>
        </is>
      </c>
      <c r="B17" s="8" t="inlineStr">
        <is>
          <t>Database migrations</t>
        </is>
      </c>
      <c r="C17" s="12" t="n">
        <v>1</v>
      </c>
      <c r="D17" s="13">
        <f>C17*(1+$B$6)*(1+$B$7)</f>
        <v/>
      </c>
      <c r="E17" s="8" t="inlineStr">
        <is>
          <t>Flyway</t>
        </is>
      </c>
      <c r="F17" s="14" t="n"/>
      <c r="G17" s="14" t="n"/>
      <c r="H17" s="14" t="n"/>
      <c r="I17" s="14" t="n"/>
      <c r="J17" s="14" t="n"/>
      <c r="K17" s="14" t="n"/>
      <c r="L17" s="14" t="n"/>
      <c r="M17" s="14" t="n"/>
      <c r="N17" s="15">
        <f>COUNTIF(F17:M17,"Lead")</f>
        <v/>
      </c>
      <c r="O17" s="15">
        <f>COUNTIF(F17:M17,"Interested")</f>
        <v/>
      </c>
      <c r="P17" s="8">
        <f>_xlfn.TEXTJOIN(", ",TRUE,IF(F17="Lead",F$11,""),IF(G17="Lead",G$11,""),IF(H17="Lead",H$11,""),IF(I17="Lead",I$11,""),IF(J17="Lead",J$11,""),IF(K17="Lead",K$11,""),IF(L17="Lead",L$11,""),IF(M17="Lead",M$11,""))</f>
        <v/>
      </c>
      <c r="Q17" s="14" t="n"/>
      <c r="R17" s="8">
        <f>IF(Q17&lt;&gt;"","Assigned",IF(N17=0,IF(O17=0,"Nobody","No lead"),IF(N17&gt;1,"Clash","1 lead")))</f>
        <v/>
      </c>
    </row>
    <row r="18">
      <c r="A18" s="8" t="inlineStr">
        <is>
          <t>Shared layers and infrastructure</t>
        </is>
      </c>
      <c r="B18" s="8" t="inlineStr">
        <is>
          <t>Index tuning and query performance</t>
        </is>
      </c>
      <c r="C18" s="12" t="n">
        <v>1</v>
      </c>
      <c r="D18" s="13">
        <f>C18*(1+$B$6)*(1+$B$7)</f>
        <v/>
      </c>
      <c r="E18" s="8" t="inlineStr">
        <is>
          <t>MySQL indexes, EXPLAIN</t>
        </is>
      </c>
      <c r="F18" s="14" t="n"/>
      <c r="G18" s="14" t="n"/>
      <c r="H18" s="14" t="n"/>
      <c r="I18" s="14" t="n"/>
      <c r="J18" s="14" t="n"/>
      <c r="K18" s="14" t="n"/>
      <c r="L18" s="14" t="n"/>
      <c r="M18" s="14" t="n"/>
      <c r="N18" s="15">
        <f>COUNTIF(F18:M18,"Lead")</f>
        <v/>
      </c>
      <c r="O18" s="15">
        <f>COUNTIF(F18:M18,"Interested")</f>
        <v/>
      </c>
      <c r="P18" s="8">
        <f>_xlfn.TEXTJOIN(", ",TRUE,IF(F18="Lead",F$11,""),IF(G18="Lead",G$11,""),IF(H18="Lead",H$11,""),IF(I18="Lead",I$11,""),IF(J18="Lead",J$11,""),IF(K18="Lead",K$11,""),IF(L18="Lead",L$11,""),IF(M18="Lead",M$11,""))</f>
        <v/>
      </c>
      <c r="Q18" s="14" t="n"/>
      <c r="R18" s="8">
        <f>IF(Q18&lt;&gt;"","Assigned",IF(N18=0,IF(O18=0,"Nobody","No lead"),IF(N18&gt;1,"Clash","1 lead")))</f>
        <v/>
      </c>
    </row>
    <row r="19">
      <c r="A19" s="8" t="inlineStr">
        <is>
          <t>Shared layers and infrastructure</t>
        </is>
      </c>
      <c r="B19" s="8" t="inlineStr">
        <is>
          <t>RPC / service contracts</t>
        </is>
      </c>
      <c r="C19" s="12" t="n">
        <v>4</v>
      </c>
      <c r="D19" s="13">
        <f>C19*(1+$B$6)*(1+$B$7)</f>
        <v/>
      </c>
      <c r="E19" s="8" t="inlineStr">
        <is>
          <t>REST + OpenAPI between services</t>
        </is>
      </c>
      <c r="F19" s="14" t="n"/>
      <c r="G19" s="14" t="n"/>
      <c r="H19" s="14" t="n"/>
      <c r="I19" s="14" t="n"/>
      <c r="J19" s="14" t="n"/>
      <c r="K19" s="14" t="n"/>
      <c r="L19" s="14" t="n"/>
      <c r="M19" s="14" t="n"/>
      <c r="N19" s="15">
        <f>COUNTIF(F19:M19,"Lead")</f>
        <v/>
      </c>
      <c r="O19" s="15">
        <f>COUNTIF(F19:M19,"Interested")</f>
        <v/>
      </c>
      <c r="P19" s="8">
        <f>_xlfn.TEXTJOIN(", ",TRUE,IF(F19="Lead",F$11,""),IF(G19="Lead",G$11,""),IF(H19="Lead",H$11,""),IF(I19="Lead",I$11,""),IF(J19="Lead",J$11,""),IF(K19="Lead",K$11,""),IF(L19="Lead",L$11,""),IF(M19="Lead",M$11,""))</f>
        <v/>
      </c>
      <c r="Q19" s="14" t="n"/>
      <c r="R19" s="8">
        <f>IF(Q19&lt;&gt;"","Assigned",IF(N19=0,IF(O19=0,"Nobody","No lead"),IF(N19&gt;1,"Clash","1 lead")))</f>
        <v/>
      </c>
    </row>
    <row r="20">
      <c r="A20" s="8" t="inlineStr">
        <is>
          <t>Shared layers and infrastructure</t>
        </is>
      </c>
      <c r="B20" s="8" t="inlineStr">
        <is>
          <t>Deployment / DevOps</t>
        </is>
      </c>
      <c r="C20" s="12" t="n">
        <v>4</v>
      </c>
      <c r="D20" s="13">
        <f>C20*(1+$B$6)*(1+$B$7)</f>
        <v/>
      </c>
      <c r="E20" s="8" t="inlineStr">
        <is>
          <t>AWS EC2 + RDS, Docker</t>
        </is>
      </c>
      <c r="F20" s="14" t="n"/>
      <c r="G20" s="14" t="n"/>
      <c r="H20" s="14" t="n"/>
      <c r="I20" s="14" t="n"/>
      <c r="J20" s="14" t="n"/>
      <c r="K20" s="14" t="n"/>
      <c r="L20" s="14" t="n"/>
      <c r="M20" s="14" t="n"/>
      <c r="N20" s="15">
        <f>COUNTIF(F20:M20,"Lead")</f>
        <v/>
      </c>
      <c r="O20" s="15">
        <f>COUNTIF(F20:M20,"Interested")</f>
        <v/>
      </c>
      <c r="P20" s="8">
        <f>_xlfn.TEXTJOIN(", ",TRUE,IF(F20="Lead",F$11,""),IF(G20="Lead",G$11,""),IF(H20="Lead",H$11,""),IF(I20="Lead",I$11,""),IF(J20="Lead",J$11,""),IF(K20="Lead",K$11,""),IF(L20="Lead",L$11,""),IF(M20="Lead",M$11,""))</f>
        <v/>
      </c>
      <c r="Q20" s="14" t="n"/>
      <c r="R20" s="8">
        <f>IF(Q20&lt;&gt;"","Assigned",IF(N20=0,IF(O20=0,"Nobody","No lead"),IF(N20&gt;1,"Clash","1 lead")))</f>
        <v/>
      </c>
    </row>
    <row r="21">
      <c r="A21" s="8" t="inlineStr">
        <is>
          <t>Shared layers and infrastructure</t>
        </is>
      </c>
      <c r="B21" s="8" t="inlineStr">
        <is>
          <t>Logging and monitoring</t>
        </is>
      </c>
      <c r="C21" s="12" t="n">
        <v>1</v>
      </c>
      <c r="D21" s="13">
        <f>C21*(1+$B$6)*(1+$B$7)</f>
        <v/>
      </c>
      <c r="E21" s="8" t="inlineStr">
        <is>
          <t>Sentry</t>
        </is>
      </c>
      <c r="F21" s="14" t="n"/>
      <c r="G21" s="14" t="n"/>
      <c r="H21" s="14" t="n"/>
      <c r="I21" s="14" t="n"/>
      <c r="J21" s="14" t="n"/>
      <c r="K21" s="14" t="n"/>
      <c r="L21" s="14" t="n"/>
      <c r="M21" s="14" t="n"/>
      <c r="N21" s="15">
        <f>COUNTIF(F21:M21,"Lead")</f>
        <v/>
      </c>
      <c r="O21" s="15">
        <f>COUNTIF(F21:M21,"Interested")</f>
        <v/>
      </c>
      <c r="P21" s="8">
        <f>_xlfn.TEXTJOIN(", ",TRUE,IF(F21="Lead",F$11,""),IF(G21="Lead",G$11,""),IF(H21="Lead",H$11,""),IF(I21="Lead",I$11,""),IF(J21="Lead",J$11,""),IF(K21="Lead",K$11,""),IF(L21="Lead",L$11,""),IF(M21="Lead",M$11,""))</f>
        <v/>
      </c>
      <c r="Q21" s="14" t="n"/>
      <c r="R21" s="8">
        <f>IF(Q21&lt;&gt;"","Assigned",IF(N21=0,IF(O21=0,"Nobody","No lead"),IF(N21&gt;1,"Clash","1 lead")))</f>
        <v/>
      </c>
    </row>
    <row r="22">
      <c r="A22" s="8" t="inlineStr">
        <is>
          <t>Shared layers and infrastructure</t>
        </is>
      </c>
      <c r="B22" s="8" t="inlineStr">
        <is>
          <t>Security and rate limiting</t>
        </is>
      </c>
      <c r="C22" s="12" t="n">
        <v>2</v>
      </c>
      <c r="D22" s="13">
        <f>C22*(1+$B$6)*(1+$B$7)</f>
        <v/>
      </c>
      <c r="E22" s="8" t="inlineStr">
        <is>
          <t>Spring Security, Bucket4j</t>
        </is>
      </c>
      <c r="F22" s="14" t="n"/>
      <c r="G22" s="14" t="n"/>
      <c r="H22" s="14" t="n"/>
      <c r="I22" s="14" t="n"/>
      <c r="J22" s="14" t="n"/>
      <c r="K22" s="14" t="n"/>
      <c r="L22" s="14" t="n"/>
      <c r="M22" s="14" t="n"/>
      <c r="N22" s="15">
        <f>COUNTIF(F22:M22,"Lead")</f>
        <v/>
      </c>
      <c r="O22" s="15">
        <f>COUNTIF(F22:M22,"Interested")</f>
        <v/>
      </c>
      <c r="P22" s="8">
        <f>_xlfn.TEXTJOIN(", ",TRUE,IF(F22="Lead",F$11,""),IF(G22="Lead",G$11,""),IF(H22="Lead",H$11,""),IF(I22="Lead",I$11,""),IF(J22="Lead",J$11,""),IF(K22="Lead",K$11,""),IF(L22="Lead",L$11,""),IF(M22="Lead",M$11,""))</f>
        <v/>
      </c>
      <c r="Q22" s="14" t="n"/>
      <c r="R22" s="8">
        <f>IF(Q22&lt;&gt;"","Assigned",IF(N22=0,IF(O22=0,"Nobody","No lead"),IF(N22&gt;1,"Clash","1 lead")))</f>
        <v/>
      </c>
    </row>
    <row r="23">
      <c r="A23" s="8" t="inlineStr">
        <is>
          <t>Shared layers and infrastructure</t>
        </is>
      </c>
      <c r="B23" s="8" t="inlineStr">
        <is>
          <t>Backup</t>
        </is>
      </c>
      <c r="C23" s="12" t="n">
        <v>0.5</v>
      </c>
      <c r="D23" s="13">
        <f>C23*(1+$B$6)*(1+$B$7)</f>
        <v/>
      </c>
      <c r="E23" s="8" t="inlineStr">
        <is>
          <t>RDS automatic backups</t>
        </is>
      </c>
      <c r="F23" s="14" t="n"/>
      <c r="G23" s="14" t="n"/>
      <c r="H23" s="14" t="n"/>
      <c r="I23" s="14" t="n"/>
      <c r="J23" s="14" t="n"/>
      <c r="K23" s="14" t="n"/>
      <c r="L23" s="14" t="n"/>
      <c r="M23" s="14" t="n"/>
      <c r="N23" s="15">
        <f>COUNTIF(F23:M23,"Lead")</f>
        <v/>
      </c>
      <c r="O23" s="15">
        <f>COUNTIF(F23:M23,"Interested")</f>
        <v/>
      </c>
      <c r="P23" s="8">
        <f>_xlfn.TEXTJOIN(", ",TRUE,IF(F23="Lead",F$11,""),IF(G23="Lead",G$11,""),IF(H23="Lead",H$11,""),IF(I23="Lead",I$11,""),IF(J23="Lead",J$11,""),IF(K23="Lead",K$11,""),IF(L23="Lead",L$11,""),IF(M23="Lead",M$11,""))</f>
        <v/>
      </c>
      <c r="Q23" s="14" t="n"/>
      <c r="R23" s="8">
        <f>IF(Q23&lt;&gt;"","Assigned",IF(N23=0,IF(O23=0,"Nobody","No lead"),IF(N23&gt;1,"Clash","1 lead")))</f>
        <v/>
      </c>
    </row>
    <row r="24">
      <c r="A24" s="8" t="inlineStr">
        <is>
          <t>Shared layers and infrastructure</t>
        </is>
      </c>
      <c r="B24" s="8" t="inlineStr">
        <is>
          <t>App updates</t>
        </is>
      </c>
      <c r="C24" s="12" t="n">
        <v>0.5</v>
      </c>
      <c r="D24" s="13">
        <f>C24*(1+$B$6)*(1+$B$7)</f>
        <v/>
      </c>
      <c r="E24" s="8" t="inlineStr">
        <is>
          <t>Expo EAS Update</t>
        </is>
      </c>
      <c r="F24" s="14" t="n"/>
      <c r="G24" s="14" t="n"/>
      <c r="H24" s="14" t="n"/>
      <c r="I24" s="14" t="n"/>
      <c r="J24" s="14" t="n"/>
      <c r="K24" s="14" t="n"/>
      <c r="L24" s="14" t="n"/>
      <c r="M24" s="14" t="n"/>
      <c r="N24" s="15">
        <f>COUNTIF(F24:M24,"Lead")</f>
        <v/>
      </c>
      <c r="O24" s="15">
        <f>COUNTIF(F24:M24,"Interested")</f>
        <v/>
      </c>
      <c r="P24" s="8">
        <f>_xlfn.TEXTJOIN(", ",TRUE,IF(F24="Lead",F$11,""),IF(G24="Lead",G$11,""),IF(H24="Lead",H$11,""),IF(I24="Lead",I$11,""),IF(J24="Lead",J$11,""),IF(K24="Lead",K$11,""),IF(L24="Lead",L$11,""),IF(M24="Lead",M$11,""))</f>
        <v/>
      </c>
      <c r="Q24" s="14" t="n"/>
      <c r="R24" s="8">
        <f>IF(Q24&lt;&gt;"","Assigned",IF(N24=0,IF(O24=0,"Nobody","No lead"),IF(N24&gt;1,"Clash","1 lead")))</f>
        <v/>
      </c>
    </row>
    <row r="25">
      <c r="A25" s="8" t="inlineStr">
        <is>
          <t>Shared layers and infrastructure</t>
        </is>
      </c>
      <c r="B25" s="8" t="inlineStr">
        <is>
          <t>Offline storage</t>
        </is>
      </c>
      <c r="C25" s="12" t="n">
        <v>3</v>
      </c>
      <c r="D25" s="13">
        <f>C25*(1+$B$6)*(1+$B$7)</f>
        <v/>
      </c>
      <c r="E25" s="8" t="inlineStr">
        <is>
          <t>expo-sqlite</t>
        </is>
      </c>
      <c r="F25" s="14" t="n"/>
      <c r="G25" s="14" t="n"/>
      <c r="H25" s="14" t="n"/>
      <c r="I25" s="14" t="n"/>
      <c r="J25" s="14" t="n"/>
      <c r="K25" s="14" t="n"/>
      <c r="L25" s="14" t="n"/>
      <c r="M25" s="14" t="n"/>
      <c r="N25" s="15">
        <f>COUNTIF(F25:M25,"Lead")</f>
        <v/>
      </c>
      <c r="O25" s="15">
        <f>COUNTIF(F25:M25,"Interested")</f>
        <v/>
      </c>
      <c r="P25" s="8">
        <f>_xlfn.TEXTJOIN(", ",TRUE,IF(F25="Lead",F$11,""),IF(G25="Lead",G$11,""),IF(H25="Lead",H$11,""),IF(I25="Lead",I$11,""),IF(J25="Lead",J$11,""),IF(K25="Lead",K$11,""),IF(L25="Lead",L$11,""),IF(M25="Lead",M$11,""))</f>
        <v/>
      </c>
      <c r="Q25" s="14" t="n"/>
      <c r="R25" s="8">
        <f>IF(Q25&lt;&gt;"","Assigned",IF(N25=0,IF(O25=0,"Nobody","No lead"),IF(N25&gt;1,"Clash","1 lead")))</f>
        <v/>
      </c>
    </row>
    <row r="26">
      <c r="A26" s="8" t="inlineStr">
        <is>
          <t>Accounts and settings</t>
        </is>
      </c>
      <c r="B26" s="8" t="inlineStr">
        <is>
          <t>Sign-in and accounts</t>
        </is>
      </c>
      <c r="C26" s="12" t="n">
        <v>3</v>
      </c>
      <c r="D26" s="13">
        <f>C26*(1+$B$6)*(1+$B$7)</f>
        <v/>
      </c>
      <c r="E26" s="8" t="inlineStr">
        <is>
          <t>Spring Security + JWT</t>
        </is>
      </c>
      <c r="F26" s="14" t="n"/>
      <c r="G26" s="14" t="n"/>
      <c r="H26" s="14" t="n"/>
      <c r="I26" s="14" t="n"/>
      <c r="J26" s="14" t="n"/>
      <c r="K26" s="14" t="n"/>
      <c r="L26" s="14" t="n"/>
      <c r="M26" s="14" t="n"/>
      <c r="N26" s="15">
        <f>COUNTIF(F26:M26,"Lead")</f>
        <v/>
      </c>
      <c r="O26" s="15">
        <f>COUNTIF(F26:M26,"Interested")</f>
        <v/>
      </c>
      <c r="P26" s="8">
        <f>_xlfn.TEXTJOIN(", ",TRUE,IF(F26="Lead",F$11,""),IF(G26="Lead",G$11,""),IF(H26="Lead",H$11,""),IF(I26="Lead",I$11,""),IF(J26="Lead",J$11,""),IF(K26="Lead",K$11,""),IF(L26="Lead",L$11,""),IF(M26="Lead",M$11,""))</f>
        <v/>
      </c>
      <c r="Q26" s="14" t="n"/>
      <c r="R26" s="8">
        <f>IF(Q26&lt;&gt;"","Assigned",IF(N26=0,IF(O26=0,"Nobody","No lead"),IF(N26&gt;1,"Clash","1 lead")))</f>
        <v/>
      </c>
    </row>
    <row r="27">
      <c r="A27" s="8" t="inlineStr">
        <is>
          <t>Accounts and settings</t>
        </is>
      </c>
      <c r="B27" s="8" t="inlineStr">
        <is>
          <t>Authorization / permissions</t>
        </is>
      </c>
      <c r="C27" s="12" t="n">
        <v>2</v>
      </c>
      <c r="D27" s="13">
        <f>C27*(1+$B$6)*(1+$B$7)</f>
        <v/>
      </c>
      <c r="E27" s="8" t="inlineStr">
        <is>
          <t>Spring Security roles</t>
        </is>
      </c>
      <c r="F27" s="14" t="n"/>
      <c r="G27" s="14" t="n"/>
      <c r="H27" s="14" t="n"/>
      <c r="I27" s="14" t="n"/>
      <c r="J27" s="14" t="n"/>
      <c r="K27" s="14" t="n"/>
      <c r="L27" s="14" t="n"/>
      <c r="M27" s="14" t="n"/>
      <c r="N27" s="15">
        <f>COUNTIF(F27:M27,"Lead")</f>
        <v/>
      </c>
      <c r="O27" s="15">
        <f>COUNTIF(F27:M27,"Interested")</f>
        <v/>
      </c>
      <c r="P27" s="8">
        <f>_xlfn.TEXTJOIN(", ",TRUE,IF(F27="Lead",F$11,""),IF(G27="Lead",G$11,""),IF(H27="Lead",H$11,""),IF(I27="Lead",I$11,""),IF(J27="Lead",J$11,""),IF(K27="Lead",K$11,""),IF(L27="Lead",L$11,""),IF(M27="Lead",M$11,""))</f>
        <v/>
      </c>
      <c r="Q27" s="14" t="n"/>
      <c r="R27" s="8">
        <f>IF(Q27&lt;&gt;"","Assigned",IF(N27=0,IF(O27=0,"Nobody","No lead"),IF(N27&gt;1,"Clash","1 lead")))</f>
        <v/>
      </c>
    </row>
    <row r="28">
      <c r="A28" s="8" t="inlineStr">
        <is>
          <t>Accounts and settings</t>
        </is>
      </c>
      <c r="B28" s="8" t="inlineStr">
        <is>
          <t>Email verification</t>
        </is>
      </c>
      <c r="C28" s="12" t="n">
        <v>1</v>
      </c>
      <c r="D28" s="13">
        <f>C28*(1+$B$6)*(1+$B$7)</f>
        <v/>
      </c>
      <c r="E28" s="8" t="inlineStr">
        <is>
          <t>Email API (SES / SendGrid)</t>
        </is>
      </c>
      <c r="F28" s="14" t="n"/>
      <c r="G28" s="14" t="n"/>
      <c r="H28" s="14" t="n"/>
      <c r="I28" s="14" t="n"/>
      <c r="J28" s="14" t="n"/>
      <c r="K28" s="14" t="n"/>
      <c r="L28" s="14" t="n"/>
      <c r="M28" s="14" t="n"/>
      <c r="N28" s="15">
        <f>COUNTIF(F28:M28,"Lead")</f>
        <v/>
      </c>
      <c r="O28" s="15">
        <f>COUNTIF(F28:M28,"Interested")</f>
        <v/>
      </c>
      <c r="P28" s="8">
        <f>_xlfn.TEXTJOIN(", ",TRUE,IF(F28="Lead",F$11,""),IF(G28="Lead",G$11,""),IF(H28="Lead",H$11,""),IF(I28="Lead",I$11,""),IF(J28="Lead",J$11,""),IF(K28="Lead",K$11,""),IF(L28="Lead",L$11,""),IF(M28="Lead",M$11,""))</f>
        <v/>
      </c>
      <c r="Q28" s="14" t="n"/>
      <c r="R28" s="8">
        <f>IF(Q28&lt;&gt;"","Assigned",IF(N28=0,IF(O28=0,"Nobody","No lead"),IF(N28&gt;1,"Clash","1 lead")))</f>
        <v/>
      </c>
    </row>
    <row r="29">
      <c r="A29" s="8" t="inlineStr">
        <is>
          <t>Accounts and settings</t>
        </is>
      </c>
      <c r="B29" s="8" t="inlineStr">
        <is>
          <t>User profiles</t>
        </is>
      </c>
      <c r="C29" s="12" t="n">
        <v>2</v>
      </c>
      <c r="D29" s="13">
        <f>C29*(1+$B$6)*(1+$B$7)</f>
        <v/>
      </c>
      <c r="E29" s="8" t="inlineStr">
        <is>
          <t>Spring Boot + MySQL</t>
        </is>
      </c>
      <c r="F29" s="14" t="n"/>
      <c r="G29" s="14" t="n"/>
      <c r="H29" s="14" t="n"/>
      <c r="I29" s="14" t="n"/>
      <c r="J29" s="14" t="n"/>
      <c r="K29" s="14" t="n"/>
      <c r="L29" s="14" t="n"/>
      <c r="M29" s="14" t="n"/>
      <c r="N29" s="15">
        <f>COUNTIF(F29:M29,"Lead")</f>
        <v/>
      </c>
      <c r="O29" s="15">
        <f>COUNTIF(F29:M29,"Interested")</f>
        <v/>
      </c>
      <c r="P29" s="8">
        <f>_xlfn.TEXTJOIN(", ",TRUE,IF(F29="Lead",F$11,""),IF(G29="Lead",G$11,""),IF(H29="Lead",H$11,""),IF(I29="Lead",I$11,""),IF(J29="Lead",J$11,""),IF(K29="Lead",K$11,""),IF(L29="Lead",L$11,""),IF(M29="Lead",M$11,""))</f>
        <v/>
      </c>
      <c r="Q29" s="14" t="n"/>
      <c r="R29" s="8">
        <f>IF(Q29&lt;&gt;"","Assigned",IF(N29=0,IF(O29=0,"Nobody","No lead"),IF(N29&gt;1,"Clash","1 lead")))</f>
        <v/>
      </c>
    </row>
    <row r="30">
      <c r="A30" s="8" t="inlineStr">
        <is>
          <t>Accounts and settings</t>
        </is>
      </c>
      <c r="B30" s="8" t="inlineStr">
        <is>
          <t>QR code profile sharing</t>
        </is>
      </c>
      <c r="C30" s="12" t="n">
        <v>0.5</v>
      </c>
      <c r="D30" s="13">
        <f>C30*(1+$B$6)*(1+$B$7)</f>
        <v/>
      </c>
      <c r="E30" s="8" t="inlineStr">
        <is>
          <t>react-native-qrcode-svg</t>
        </is>
      </c>
      <c r="F30" s="14" t="n"/>
      <c r="G30" s="14" t="n"/>
      <c r="H30" s="14" t="n"/>
      <c r="I30" s="14" t="n"/>
      <c r="J30" s="14" t="n"/>
      <c r="K30" s="14" t="n"/>
      <c r="L30" s="14" t="n"/>
      <c r="M30" s="14" t="n"/>
      <c r="N30" s="15">
        <f>COUNTIF(F30:M30,"Lead")</f>
        <v/>
      </c>
      <c r="O30" s="15">
        <f>COUNTIF(F30:M30,"Interested")</f>
        <v/>
      </c>
      <c r="P30" s="8">
        <f>_xlfn.TEXTJOIN(", ",TRUE,IF(F30="Lead",F$11,""),IF(G30="Lead",G$11,""),IF(H30="Lead",H$11,""),IF(I30="Lead",I$11,""),IF(J30="Lead",J$11,""),IF(K30="Lead",K$11,""),IF(L30="Lead",L$11,""),IF(M30="Lead",M$11,""))</f>
        <v/>
      </c>
      <c r="Q30" s="14" t="n"/>
      <c r="R30" s="8">
        <f>IF(Q30&lt;&gt;"","Assigned",IF(N30=0,IF(O30=0,"Nobody","No lead"),IF(N30&gt;1,"Clash","1 lead")))</f>
        <v/>
      </c>
    </row>
    <row r="31">
      <c r="A31" s="8" t="inlineStr">
        <is>
          <t>Accounts and settings</t>
        </is>
      </c>
      <c r="B31" s="8" t="inlineStr">
        <is>
          <t>Settings</t>
        </is>
      </c>
      <c r="C31" s="12" t="n">
        <v>1</v>
      </c>
      <c r="D31" s="13">
        <f>C31*(1+$B$6)*(1+$B$7)</f>
        <v/>
      </c>
      <c r="E31" s="8" t="inlineStr">
        <is>
          <t>Expo + REST</t>
        </is>
      </c>
      <c r="F31" s="14" t="n"/>
      <c r="G31" s="14" t="n"/>
      <c r="H31" s="14" t="n"/>
      <c r="I31" s="14" t="n"/>
      <c r="J31" s="14" t="n"/>
      <c r="K31" s="14" t="n"/>
      <c r="L31" s="14" t="n"/>
      <c r="M31" s="14" t="n"/>
      <c r="N31" s="15">
        <f>COUNTIF(F31:M31,"Lead")</f>
        <v/>
      </c>
      <c r="O31" s="15">
        <f>COUNTIF(F31:M31,"Interested")</f>
        <v/>
      </c>
      <c r="P31" s="8">
        <f>_xlfn.TEXTJOIN(", ",TRUE,IF(F31="Lead",F$11,""),IF(G31="Lead",G$11,""),IF(H31="Lead",H$11,""),IF(I31="Lead",I$11,""),IF(J31="Lead",J$11,""),IF(K31="Lead",K$11,""),IF(L31="Lead",L$11,""),IF(M31="Lead",M$11,""))</f>
        <v/>
      </c>
      <c r="Q31" s="14" t="n"/>
      <c r="R31" s="8">
        <f>IF(Q31&lt;&gt;"","Assigned",IF(N31=0,IF(O31=0,"Nobody","No lead"),IF(N31&gt;1,"Clash","1 lead")))</f>
        <v/>
      </c>
    </row>
    <row r="32">
      <c r="A32" s="8" t="inlineStr">
        <is>
          <t>Accounts and settings</t>
        </is>
      </c>
      <c r="B32" s="8" t="inlineStr">
        <is>
          <t>French language support</t>
        </is>
      </c>
      <c r="C32" s="12" t="n">
        <v>2</v>
      </c>
      <c r="D32" s="13">
        <f>C32*(1+$B$6)*(1+$B$7)</f>
        <v/>
      </c>
      <c r="E32" s="8" t="inlineStr">
        <is>
          <t>i18next + translation</t>
        </is>
      </c>
      <c r="F32" s="14" t="n"/>
      <c r="G32" s="14" t="n"/>
      <c r="H32" s="14" t="n"/>
      <c r="I32" s="14" t="n"/>
      <c r="J32" s="14" t="n"/>
      <c r="K32" s="14" t="n"/>
      <c r="L32" s="14" t="n"/>
      <c r="M32" s="14" t="n"/>
      <c r="N32" s="15">
        <f>COUNTIF(F32:M32,"Lead")</f>
        <v/>
      </c>
      <c r="O32" s="15">
        <f>COUNTIF(F32:M32,"Interested")</f>
        <v/>
      </c>
      <c r="P32" s="8">
        <f>_xlfn.TEXTJOIN(", ",TRUE,IF(F32="Lead",F$11,""),IF(G32="Lead",G$11,""),IF(H32="Lead",H$11,""),IF(I32="Lead",I$11,""),IF(J32="Lead",J$11,""),IF(K32="Lead",K$11,""),IF(L32="Lead",L$11,""),IF(M32="Lead",M$11,""))</f>
        <v/>
      </c>
      <c r="Q32" s="14" t="n"/>
      <c r="R32" s="8">
        <f>IF(Q32&lt;&gt;"","Assigned",IF(N32=0,IF(O32=0,"Nobody","No lead"),IF(N32&gt;1,"Clash","1 lead")))</f>
        <v/>
      </c>
    </row>
    <row r="33">
      <c r="A33" s="8" t="inlineStr">
        <is>
          <t>Accounts and settings</t>
        </is>
      </c>
      <c r="B33" s="8" t="inlineStr">
        <is>
          <t>Import / export</t>
        </is>
      </c>
      <c r="C33" s="12" t="n">
        <v>1</v>
      </c>
      <c r="D33" s="13">
        <f>C33*(1+$B$6)*(1+$B$7)</f>
        <v/>
      </c>
      <c r="E33" s="8" t="inlineStr">
        <is>
          <t>JSON / CSV</t>
        </is>
      </c>
      <c r="F33" s="14" t="n"/>
      <c r="G33" s="14" t="n"/>
      <c r="H33" s="14" t="n"/>
      <c r="I33" s="14" t="n"/>
      <c r="J33" s="14" t="n"/>
      <c r="K33" s="14" t="n"/>
      <c r="L33" s="14" t="n"/>
      <c r="M33" s="14" t="n"/>
      <c r="N33" s="15">
        <f>COUNTIF(F33:M33,"Lead")</f>
        <v/>
      </c>
      <c r="O33" s="15">
        <f>COUNTIF(F33:M33,"Interested")</f>
        <v/>
      </c>
      <c r="P33" s="8">
        <f>_xlfn.TEXTJOIN(", ",TRUE,IF(F33="Lead",F$11,""),IF(G33="Lead",G$11,""),IF(H33="Lead",H$11,""),IF(I33="Lead",I$11,""),IF(J33="Lead",J$11,""),IF(K33="Lead",K$11,""),IF(L33="Lead",L$11,""),IF(M33="Lead",M$11,""))</f>
        <v/>
      </c>
      <c r="Q33" s="14" t="n"/>
      <c r="R33" s="8">
        <f>IF(Q33&lt;&gt;"","Assigned",IF(N33=0,IF(O33=0,"Nobody","No lead"),IF(N33&gt;1,"Clash","1 lead")))</f>
        <v/>
      </c>
    </row>
    <row r="34">
      <c r="A34" s="8" t="inlineStr">
        <is>
          <t>Social</t>
        </is>
      </c>
      <c r="B34" s="8" t="inlineStr">
        <is>
          <t>Follows</t>
        </is>
      </c>
      <c r="C34" s="12" t="n">
        <v>1.5</v>
      </c>
      <c r="D34" s="13">
        <f>C34*(1+$B$6)*(1+$B$7)</f>
        <v/>
      </c>
      <c r="E34" s="8" t="inlineStr">
        <is>
          <t>Spring Boot + MySQL</t>
        </is>
      </c>
      <c r="F34" s="14" t="n"/>
      <c r="G34" s="14" t="n"/>
      <c r="H34" s="14" t="n"/>
      <c r="I34" s="14" t="n"/>
      <c r="J34" s="14" t="n"/>
      <c r="K34" s="14" t="n"/>
      <c r="L34" s="14" t="n"/>
      <c r="M34" s="14" t="n"/>
      <c r="N34" s="15">
        <f>COUNTIF(F34:M34,"Lead")</f>
        <v/>
      </c>
      <c r="O34" s="15">
        <f>COUNTIF(F34:M34,"Interested")</f>
        <v/>
      </c>
      <c r="P34" s="8">
        <f>_xlfn.TEXTJOIN(", ",TRUE,IF(F34="Lead",F$11,""),IF(G34="Lead",G$11,""),IF(H34="Lead",H$11,""),IF(I34="Lead",I$11,""),IF(J34="Lead",J$11,""),IF(K34="Lead",K$11,""),IF(L34="Lead",L$11,""),IF(M34="Lead",M$11,""))</f>
        <v/>
      </c>
      <c r="Q34" s="14" t="n"/>
      <c r="R34" s="8">
        <f>IF(Q34&lt;&gt;"","Assigned",IF(N34=0,IF(O34=0,"Nobody","No lead"),IF(N34&gt;1,"Clash","1 lead")))</f>
        <v/>
      </c>
    </row>
    <row r="35">
      <c r="A35" s="8" t="inlineStr">
        <is>
          <t>Social</t>
        </is>
      </c>
      <c r="B35" s="8" t="inlineStr">
        <is>
          <t>Posts</t>
        </is>
      </c>
      <c r="C35" s="12" t="n">
        <v>3</v>
      </c>
      <c r="D35" s="13">
        <f>C35*(1+$B$6)*(1+$B$7)</f>
        <v/>
      </c>
      <c r="E35" s="8" t="inlineStr">
        <is>
          <t>Spring Boot + MySQL, cursor pagination</t>
        </is>
      </c>
      <c r="F35" s="14" t="n"/>
      <c r="G35" s="14" t="n"/>
      <c r="H35" s="14" t="n"/>
      <c r="I35" s="14" t="n"/>
      <c r="J35" s="14" t="n"/>
      <c r="K35" s="14" t="n"/>
      <c r="L35" s="14" t="n"/>
      <c r="M35" s="14" t="n"/>
      <c r="N35" s="15">
        <f>COUNTIF(F35:M35,"Lead")</f>
        <v/>
      </c>
      <c r="O35" s="15">
        <f>COUNTIF(F35:M35,"Interested")</f>
        <v/>
      </c>
      <c r="P35" s="8">
        <f>_xlfn.TEXTJOIN(", ",TRUE,IF(F35="Lead",F$11,""),IF(G35="Lead",G$11,""),IF(H35="Lead",H$11,""),IF(I35="Lead",I$11,""),IF(J35="Lead",J$11,""),IF(K35="Lead",K$11,""),IF(L35="Lead",L$11,""),IF(M35="Lead",M$11,""))</f>
        <v/>
      </c>
      <c r="Q35" s="14" t="n"/>
      <c r="R35" s="8">
        <f>IF(Q35&lt;&gt;"","Assigned",IF(N35=0,IF(O35=0,"Nobody","No lead"),IF(N35&gt;1,"Clash","1 lead")))</f>
        <v/>
      </c>
    </row>
    <row r="36">
      <c r="A36" s="8" t="inlineStr">
        <is>
          <t>Social</t>
        </is>
      </c>
      <c r="B36" s="8" t="inlineStr">
        <is>
          <t>Comments</t>
        </is>
      </c>
      <c r="C36" s="12" t="n">
        <v>1.5</v>
      </c>
      <c r="D36" s="13">
        <f>C36*(1+$B$6)*(1+$B$7)</f>
        <v/>
      </c>
      <c r="E36" s="8" t="inlineStr">
        <is>
          <t>Spring Boot + MySQL</t>
        </is>
      </c>
      <c r="F36" s="14" t="n"/>
      <c r="G36" s="14" t="n"/>
      <c r="H36" s="14" t="n"/>
      <c r="I36" s="14" t="n"/>
      <c r="J36" s="14" t="n"/>
      <c r="K36" s="14" t="n"/>
      <c r="L36" s="14" t="n"/>
      <c r="M36" s="14" t="n"/>
      <c r="N36" s="15">
        <f>COUNTIF(F36:M36,"Lead")</f>
        <v/>
      </c>
      <c r="O36" s="15">
        <f>COUNTIF(F36:M36,"Interested")</f>
        <v/>
      </c>
      <c r="P36" s="8">
        <f>_xlfn.TEXTJOIN(", ",TRUE,IF(F36="Lead",F$11,""),IF(G36="Lead",G$11,""),IF(H36="Lead",H$11,""),IF(I36="Lead",I$11,""),IF(J36="Lead",J$11,""),IF(K36="Lead",K$11,""),IF(L36="Lead",L$11,""),IF(M36="Lead",M$11,""))</f>
        <v/>
      </c>
      <c r="Q36" s="14" t="n"/>
      <c r="R36" s="8">
        <f>IF(Q36&lt;&gt;"","Assigned",IF(N36=0,IF(O36=0,"Nobody","No lead"),IF(N36&gt;1,"Clash","1 lead")))</f>
        <v/>
      </c>
    </row>
    <row r="37">
      <c r="A37" s="8" t="inlineStr">
        <is>
          <t>Social</t>
        </is>
      </c>
      <c r="B37" s="8" t="inlineStr">
        <is>
          <t>Likes</t>
        </is>
      </c>
      <c r="C37" s="12" t="n">
        <v>1</v>
      </c>
      <c r="D37" s="13">
        <f>C37*(1+$B$6)*(1+$B$7)</f>
        <v/>
      </c>
      <c r="E37" s="8" t="inlineStr">
        <is>
          <t>Spring Boot + MySQL</t>
        </is>
      </c>
      <c r="F37" s="14" t="n"/>
      <c r="G37" s="14" t="n"/>
      <c r="H37" s="14" t="n"/>
      <c r="I37" s="14" t="n"/>
      <c r="J37" s="14" t="n"/>
      <c r="K37" s="14" t="n"/>
      <c r="L37" s="14" t="n"/>
      <c r="M37" s="14" t="n"/>
      <c r="N37" s="15">
        <f>COUNTIF(F37:M37,"Lead")</f>
        <v/>
      </c>
      <c r="O37" s="15">
        <f>COUNTIF(F37:M37,"Interested")</f>
        <v/>
      </c>
      <c r="P37" s="8">
        <f>_xlfn.TEXTJOIN(", ",TRUE,IF(F37="Lead",F$11,""),IF(G37="Lead",G$11,""),IF(H37="Lead",H$11,""),IF(I37="Lead",I$11,""),IF(J37="Lead",J$11,""),IF(K37="Lead",K$11,""),IF(L37="Lead",L$11,""),IF(M37="Lead",M$11,""))</f>
        <v/>
      </c>
      <c r="Q37" s="14" t="n"/>
      <c r="R37" s="8">
        <f>IF(Q37&lt;&gt;"","Assigned",IF(N37=0,IF(O37=0,"Nobody","No lead"),IF(N37&gt;1,"Clash","1 lead")))</f>
        <v/>
      </c>
    </row>
    <row r="38">
      <c r="A38" s="8" t="inlineStr">
        <is>
          <t>Social</t>
        </is>
      </c>
      <c r="B38" s="8" t="inlineStr">
        <is>
          <t>Mentions</t>
        </is>
      </c>
      <c r="C38" s="12" t="n">
        <v>1</v>
      </c>
      <c r="D38" s="13">
        <f>C38*(1+$B$6)*(1+$B$7)</f>
        <v/>
      </c>
      <c r="E38" s="8" t="inlineStr"/>
      <c r="F38" s="14" t="n"/>
      <c r="G38" s="14" t="n"/>
      <c r="H38" s="14" t="n"/>
      <c r="I38" s="14" t="n"/>
      <c r="J38" s="14" t="n"/>
      <c r="K38" s="14" t="n"/>
      <c r="L38" s="14" t="n"/>
      <c r="M38" s="14" t="n"/>
      <c r="N38" s="15">
        <f>COUNTIF(F38:M38,"Lead")</f>
        <v/>
      </c>
      <c r="O38" s="15">
        <f>COUNTIF(F38:M38,"Interested")</f>
        <v/>
      </c>
      <c r="P38" s="8">
        <f>_xlfn.TEXTJOIN(", ",TRUE,IF(F38="Lead",F$11,""),IF(G38="Lead",G$11,""),IF(H38="Lead",H$11,""),IF(I38="Lead",I$11,""),IF(J38="Lead",J$11,""),IF(K38="Lead",K$11,""),IF(L38="Lead",L$11,""),IF(M38="Lead",M$11,""))</f>
        <v/>
      </c>
      <c r="Q38" s="14" t="n"/>
      <c r="R38" s="8">
        <f>IF(Q38&lt;&gt;"","Assigned",IF(N38=0,IF(O38=0,"Nobody","No lead"),IF(N38&gt;1,"Clash","1 lead")))</f>
        <v/>
      </c>
    </row>
    <row r="39">
      <c r="A39" s="8" t="inlineStr">
        <is>
          <t>Social</t>
        </is>
      </c>
      <c r="B39" s="8" t="inlineStr">
        <is>
          <t>Course tags</t>
        </is>
      </c>
      <c r="C39" s="12" t="n">
        <v>1</v>
      </c>
      <c r="D39" s="13">
        <f>C39*(1+$B$6)*(1+$B$7)</f>
        <v/>
      </c>
      <c r="E39" s="8" t="inlineStr"/>
      <c r="F39" s="14" t="n"/>
      <c r="G39" s="14" t="n"/>
      <c r="H39" s="14" t="n"/>
      <c r="I39" s="14" t="n"/>
      <c r="J39" s="14" t="n"/>
      <c r="K39" s="14" t="n"/>
      <c r="L39" s="14" t="n"/>
      <c r="M39" s="14" t="n"/>
      <c r="N39" s="15">
        <f>COUNTIF(F39:M39,"Lead")</f>
        <v/>
      </c>
      <c r="O39" s="15">
        <f>COUNTIF(F39:M39,"Interested")</f>
        <v/>
      </c>
      <c r="P39" s="8">
        <f>_xlfn.TEXTJOIN(", ",TRUE,IF(F39="Lead",F$11,""),IF(G39="Lead",G$11,""),IF(H39="Lead",H$11,""),IF(I39="Lead",I$11,""),IF(J39="Lead",J$11,""),IF(K39="Lead",K$11,""),IF(L39="Lead",L$11,""),IF(M39="Lead",M$11,""))</f>
        <v/>
      </c>
      <c r="Q39" s="14" t="n"/>
      <c r="R39" s="8">
        <f>IF(Q39&lt;&gt;"","Assigned",IF(N39=0,IF(O39=0,"Nobody","No lead"),IF(N39&gt;1,"Clash","1 lead")))</f>
        <v/>
      </c>
    </row>
    <row r="40">
      <c r="A40" s="8" t="inlineStr">
        <is>
          <t>Social</t>
        </is>
      </c>
      <c r="B40" s="8" t="inlineStr">
        <is>
          <t>Industry / research tags</t>
        </is>
      </c>
      <c r="C40" s="12" t="n">
        <v>1</v>
      </c>
      <c r="D40" s="13">
        <f>C40*(1+$B$6)*(1+$B$7)</f>
        <v/>
      </c>
      <c r="E40" s="8" t="inlineStr"/>
      <c r="F40" s="14" t="n"/>
      <c r="G40" s="14" t="n"/>
      <c r="H40" s="14" t="n"/>
      <c r="I40" s="14" t="n"/>
      <c r="J40" s="14" t="n"/>
      <c r="K40" s="14" t="n"/>
      <c r="L40" s="14" t="n"/>
      <c r="M40" s="14" t="n"/>
      <c r="N40" s="15">
        <f>COUNTIF(F40:M40,"Lead")</f>
        <v/>
      </c>
      <c r="O40" s="15">
        <f>COUNTIF(F40:M40,"Interested")</f>
        <v/>
      </c>
      <c r="P40" s="8">
        <f>_xlfn.TEXTJOIN(", ",TRUE,IF(F40="Lead",F$11,""),IF(G40="Lead",G$11,""),IF(H40="Lead",H$11,""),IF(I40="Lead",I$11,""),IF(J40="Lead",J$11,""),IF(K40="Lead",K$11,""),IF(L40="Lead",L$11,""),IF(M40="Lead",M$11,""))</f>
        <v/>
      </c>
      <c r="Q40" s="14" t="n"/>
      <c r="R40" s="8">
        <f>IF(Q40&lt;&gt;"","Assigned",IF(N40=0,IF(O40=0,"Nobody","No lead"),IF(N40&gt;1,"Clash","1 lead")))</f>
        <v/>
      </c>
    </row>
    <row r="41">
      <c r="A41" s="8" t="inlineStr">
        <is>
          <t>Social</t>
        </is>
      </c>
      <c r="B41" s="8" t="inlineStr">
        <is>
          <t>Verified alumni / industry badge</t>
        </is>
      </c>
      <c r="C41" s="12" t="n">
        <v>2</v>
      </c>
      <c r="D41" s="13">
        <f>C41*(1+$B$6)*(1+$B$7)</f>
        <v/>
      </c>
      <c r="E41" s="8" t="inlineStr">
        <is>
          <t>Manual review flow</t>
        </is>
      </c>
      <c r="F41" s="14" t="n"/>
      <c r="G41" s="14" t="n"/>
      <c r="H41" s="14" t="n"/>
      <c r="I41" s="14" t="n"/>
      <c r="J41" s="14" t="n"/>
      <c r="K41" s="14" t="n"/>
      <c r="L41" s="14" t="n"/>
      <c r="M41" s="14" t="n"/>
      <c r="N41" s="15">
        <f>COUNTIF(F41:M41,"Lead")</f>
        <v/>
      </c>
      <c r="O41" s="15">
        <f>COUNTIF(F41:M41,"Interested")</f>
        <v/>
      </c>
      <c r="P41" s="8">
        <f>_xlfn.TEXTJOIN(", ",TRUE,IF(F41="Lead",F$11,""),IF(G41="Lead",G$11,""),IF(H41="Lead",H$11,""),IF(I41="Lead",I$11,""),IF(J41="Lead",J$11,""),IF(K41="Lead",K$11,""),IF(L41="Lead",L$11,""),IF(M41="Lead",M$11,""))</f>
        <v/>
      </c>
      <c r="Q41" s="14" t="n"/>
      <c r="R41" s="8">
        <f>IF(Q41&lt;&gt;"","Assigned",IF(N41=0,IF(O41=0,"Nobody","No lead"),IF(N41&gt;1,"Clash","1 lead")))</f>
        <v/>
      </c>
    </row>
    <row r="42">
      <c r="A42" s="8" t="inlineStr">
        <is>
          <t>Social</t>
        </is>
      </c>
      <c r="B42" s="8" t="inlineStr">
        <is>
          <t>Saved posts</t>
        </is>
      </c>
      <c r="C42" s="12" t="n">
        <v>1</v>
      </c>
      <c r="D42" s="13">
        <f>C42*(1+$B$6)*(1+$B$7)</f>
        <v/>
      </c>
      <c r="E42" s="8" t="inlineStr"/>
      <c r="F42" s="14" t="n"/>
      <c r="G42" s="14" t="n"/>
      <c r="H42" s="14" t="n"/>
      <c r="I42" s="14" t="n"/>
      <c r="J42" s="14" t="n"/>
      <c r="K42" s="14" t="n"/>
      <c r="L42" s="14" t="n"/>
      <c r="M42" s="14" t="n"/>
      <c r="N42" s="15">
        <f>COUNTIF(F42:M42,"Lead")</f>
        <v/>
      </c>
      <c r="O42" s="15">
        <f>COUNTIF(F42:M42,"Interested")</f>
        <v/>
      </c>
      <c r="P42" s="8">
        <f>_xlfn.TEXTJOIN(", ",TRUE,IF(F42="Lead",F$11,""),IF(G42="Lead",G$11,""),IF(H42="Lead",H$11,""),IF(I42="Lead",I$11,""),IF(J42="Lead",J$11,""),IF(K42="Lead",K$11,""),IF(L42="Lead",L$11,""),IF(M42="Lead",M$11,""))</f>
        <v/>
      </c>
      <c r="Q42" s="14" t="n"/>
      <c r="R42" s="8">
        <f>IF(Q42&lt;&gt;"","Assigned",IF(N42=0,IF(O42=0,"Nobody","No lead"),IF(N42&gt;1,"Clash","1 lead")))</f>
        <v/>
      </c>
    </row>
    <row r="43">
      <c r="A43" s="8" t="inlineStr">
        <is>
          <t>Social</t>
        </is>
      </c>
      <c r="B43" s="8" t="inlineStr">
        <is>
          <t>Image upload</t>
        </is>
      </c>
      <c r="C43" s="12" t="n">
        <v>1.5</v>
      </c>
      <c r="D43" s="13">
        <f>C43*(1+$B$6)*(1+$B$7)</f>
        <v/>
      </c>
      <c r="E43" s="8" t="inlineStr">
        <is>
          <t>AWS S3 presigned URLs</t>
        </is>
      </c>
      <c r="F43" s="14" t="n"/>
      <c r="G43" s="14" t="n"/>
      <c r="H43" s="14" t="n"/>
      <c r="I43" s="14" t="n"/>
      <c r="J43" s="14" t="n"/>
      <c r="K43" s="14" t="n"/>
      <c r="L43" s="14" t="n"/>
      <c r="M43" s="14" t="n"/>
      <c r="N43" s="15">
        <f>COUNTIF(F43:M43,"Lead")</f>
        <v/>
      </c>
      <c r="O43" s="15">
        <f>COUNTIF(F43:M43,"Interested")</f>
        <v/>
      </c>
      <c r="P43" s="8">
        <f>_xlfn.TEXTJOIN(", ",TRUE,IF(F43="Lead",F$11,""),IF(G43="Lead",G$11,""),IF(H43="Lead",H$11,""),IF(I43="Lead",I$11,""),IF(J43="Lead",J$11,""),IF(K43="Lead",K$11,""),IF(L43="Lead",L$11,""),IF(M43="Lead",M$11,""))</f>
        <v/>
      </c>
      <c r="Q43" s="14" t="n"/>
      <c r="R43" s="8">
        <f>IF(Q43&lt;&gt;"","Assigned",IF(N43=0,IF(O43=0,"Nobody","No lead"),IF(N43&gt;1,"Clash","1 lead")))</f>
        <v/>
      </c>
    </row>
    <row r="44">
      <c r="A44" s="8" t="inlineStr">
        <is>
          <t>Social</t>
        </is>
      </c>
      <c r="B44" s="8" t="inlineStr">
        <is>
          <t>Search</t>
        </is>
      </c>
      <c r="C44" s="12" t="n">
        <v>2</v>
      </c>
      <c r="D44" s="13">
        <f>C44*(1+$B$6)*(1+$B$7)</f>
        <v/>
      </c>
      <c r="E44" s="8" t="inlineStr">
        <is>
          <t>MySQL FULLTEXT</t>
        </is>
      </c>
      <c r="F44" s="14" t="n"/>
      <c r="G44" s="14" t="n"/>
      <c r="H44" s="14" t="n"/>
      <c r="I44" s="14" t="n"/>
      <c r="J44" s="14" t="n"/>
      <c r="K44" s="14" t="n"/>
      <c r="L44" s="14" t="n"/>
      <c r="M44" s="14" t="n"/>
      <c r="N44" s="15">
        <f>COUNTIF(F44:M44,"Lead")</f>
        <v/>
      </c>
      <c r="O44" s="15">
        <f>COUNTIF(F44:M44,"Interested")</f>
        <v/>
      </c>
      <c r="P44" s="8">
        <f>_xlfn.TEXTJOIN(", ",TRUE,IF(F44="Lead",F$11,""),IF(G44="Lead",G$11,""),IF(H44="Lead",H$11,""),IF(I44="Lead",I$11,""),IF(J44="Lead",J$11,""),IF(K44="Lead",K$11,""),IF(L44="Lead",L$11,""),IF(M44="Lead",M$11,""))</f>
        <v/>
      </c>
      <c r="Q44" s="14" t="n"/>
      <c r="R44" s="8">
        <f>IF(Q44&lt;&gt;"","Assigned",IF(N44=0,IF(O44=0,"Nobody","No lead"),IF(N44&gt;1,"Clash","1 lead")))</f>
        <v/>
      </c>
    </row>
    <row r="45">
      <c r="A45" s="8" t="inlineStr">
        <is>
          <t>Safety</t>
        </is>
      </c>
      <c r="B45" s="8" t="inlineStr">
        <is>
          <t>Moderation / admin</t>
        </is>
      </c>
      <c r="C45" s="12" t="n">
        <v>2.5</v>
      </c>
      <c r="D45" s="13">
        <f>C45*(1+$B$6)*(1+$B$7)</f>
        <v/>
      </c>
      <c r="E45" s="8" t="inlineStr">
        <is>
          <t>Report queue + admin screen</t>
        </is>
      </c>
      <c r="F45" s="14" t="n"/>
      <c r="G45" s="14" t="n"/>
      <c r="H45" s="14" t="n"/>
      <c r="I45" s="14" t="n"/>
      <c r="J45" s="14" t="n"/>
      <c r="K45" s="14" t="n"/>
      <c r="L45" s="14" t="n"/>
      <c r="M45" s="14" t="n"/>
      <c r="N45" s="15">
        <f>COUNTIF(F45:M45,"Lead")</f>
        <v/>
      </c>
      <c r="O45" s="15">
        <f>COUNTIF(F45:M45,"Interested")</f>
        <v/>
      </c>
      <c r="P45" s="8">
        <f>_xlfn.TEXTJOIN(", ",TRUE,IF(F45="Lead",F$11,""),IF(G45="Lead",G$11,""),IF(H45="Lead",H$11,""),IF(I45="Lead",I$11,""),IF(J45="Lead",J$11,""),IF(K45="Lead",K$11,""),IF(L45="Lead",L$11,""),IF(M45="Lead",M$11,""))</f>
        <v/>
      </c>
      <c r="Q45" s="14" t="n"/>
      <c r="R45" s="8">
        <f>IF(Q45&lt;&gt;"","Assigned",IF(N45=0,IF(O45=0,"Nobody","No lead"),IF(N45&gt;1,"Clash","1 lead")))</f>
        <v/>
      </c>
    </row>
    <row r="46">
      <c r="A46" s="8" t="inlineStr">
        <is>
          <t>Safety</t>
        </is>
      </c>
      <c r="B46" s="8" t="inlineStr">
        <is>
          <t>Block and mute users</t>
        </is>
      </c>
      <c r="C46" s="12" t="n">
        <v>1</v>
      </c>
      <c r="D46" s="13">
        <f>C46*(1+$B$6)*(1+$B$7)</f>
        <v/>
      </c>
      <c r="E46" s="8" t="inlineStr"/>
      <c r="F46" s="14" t="n"/>
      <c r="G46" s="14" t="n"/>
      <c r="H46" s="14" t="n"/>
      <c r="I46" s="14" t="n"/>
      <c r="J46" s="14" t="n"/>
      <c r="K46" s="14" t="n"/>
      <c r="L46" s="14" t="n"/>
      <c r="M46" s="14" t="n"/>
      <c r="N46" s="15">
        <f>COUNTIF(F46:M46,"Lead")</f>
        <v/>
      </c>
      <c r="O46" s="15">
        <f>COUNTIF(F46:M46,"Interested")</f>
        <v/>
      </c>
      <c r="P46" s="8">
        <f>_xlfn.TEXTJOIN(", ",TRUE,IF(F46="Lead",F$11,""),IF(G46="Lead",G$11,""),IF(H46="Lead",H$11,""),IF(I46="Lead",I$11,""),IF(J46="Lead",J$11,""),IF(K46="Lead",K$11,""),IF(L46="Lead",L$11,""),IF(M46="Lead",M$11,""))</f>
        <v/>
      </c>
      <c r="Q46" s="14" t="n"/>
      <c r="R46" s="8">
        <f>IF(Q46&lt;&gt;"","Assigned",IF(N46=0,IF(O46=0,"Nobody","No lead"),IF(N46&gt;1,"Clash","1 lead")))</f>
        <v/>
      </c>
    </row>
    <row r="47">
      <c r="A47" s="8" t="inlineStr">
        <is>
          <t>Safety</t>
        </is>
      </c>
      <c r="B47" s="8" t="inlineStr">
        <is>
          <t>Feedback / ticketing</t>
        </is>
      </c>
      <c r="C47" s="12" t="n">
        <v>0.5</v>
      </c>
      <c r="D47" s="13">
        <f>C47*(1+$B$6)*(1+$B$7)</f>
        <v/>
      </c>
      <c r="E47" s="8" t="inlineStr">
        <is>
          <t>Sentry user feedback</t>
        </is>
      </c>
      <c r="F47" s="14" t="n"/>
      <c r="G47" s="14" t="n"/>
      <c r="H47" s="14" t="n"/>
      <c r="I47" s="14" t="n"/>
      <c r="J47" s="14" t="n"/>
      <c r="K47" s="14" t="n"/>
      <c r="L47" s="14" t="n"/>
      <c r="M47" s="14" t="n"/>
      <c r="N47" s="15">
        <f>COUNTIF(F47:M47,"Lead")</f>
        <v/>
      </c>
      <c r="O47" s="15">
        <f>COUNTIF(F47:M47,"Interested")</f>
        <v/>
      </c>
      <c r="P47" s="8">
        <f>_xlfn.TEXTJOIN(", ",TRUE,IF(F47="Lead",F$11,""),IF(G47="Lead",G$11,""),IF(H47="Lead",H$11,""),IF(I47="Lead",I$11,""),IF(J47="Lead",J$11,""),IF(K47="Lead",K$11,""),IF(L47="Lead",L$11,""),IF(M47="Lead",M$11,""))</f>
        <v/>
      </c>
      <c r="Q47" s="14" t="n"/>
      <c r="R47" s="8">
        <f>IF(Q47&lt;&gt;"","Assigned",IF(N47=0,IF(O47=0,"Nobody","No lead"),IF(N47&gt;1,"Clash","1 lead")))</f>
        <v/>
      </c>
    </row>
    <row r="48">
      <c r="A48" s="8" t="inlineStr">
        <is>
          <t>Messaging and notifications</t>
        </is>
      </c>
      <c r="B48" s="8" t="inlineStr">
        <is>
          <t>Instant messaging</t>
        </is>
      </c>
      <c r="C48" s="12" t="n">
        <v>5</v>
      </c>
      <c r="D48" s="13">
        <f>C48*(1+$B$6)*(1+$B$7)</f>
        <v/>
      </c>
      <c r="E48" s="8" t="inlineStr">
        <is>
          <t>WebSocket (Spring STOMP)</t>
        </is>
      </c>
      <c r="F48" s="14" t="n"/>
      <c r="G48" s="14" t="n"/>
      <c r="H48" s="14" t="n"/>
      <c r="I48" s="14" t="n"/>
      <c r="J48" s="14" t="n"/>
      <c r="K48" s="14" t="n"/>
      <c r="L48" s="14" t="n"/>
      <c r="M48" s="14" t="n"/>
      <c r="N48" s="15">
        <f>COUNTIF(F48:M48,"Lead")</f>
        <v/>
      </c>
      <c r="O48" s="15">
        <f>COUNTIF(F48:M48,"Interested")</f>
        <v/>
      </c>
      <c r="P48" s="8">
        <f>_xlfn.TEXTJOIN(", ",TRUE,IF(F48="Lead",F$11,""),IF(G48="Lead",G$11,""),IF(H48="Lead",H$11,""),IF(I48="Lead",I$11,""),IF(J48="Lead",J$11,""),IF(K48="Lead",K$11,""),IF(L48="Lead",L$11,""),IF(M48="Lead",M$11,""))</f>
        <v/>
      </c>
      <c r="Q48" s="14" t="n"/>
      <c r="R48" s="8">
        <f>IF(Q48&lt;&gt;"","Assigned",IF(N48=0,IF(O48=0,"Nobody","No lead"),IF(N48&gt;1,"Clash","1 lead")))</f>
        <v/>
      </c>
    </row>
    <row r="49">
      <c r="A49" s="8" t="inlineStr">
        <is>
          <t>Messaging and notifications</t>
        </is>
      </c>
      <c r="B49" s="8" t="inlineStr">
        <is>
          <t>Chat attachments</t>
        </is>
      </c>
      <c r="C49" s="12" t="n">
        <v>1</v>
      </c>
      <c r="D49" s="13">
        <f>C49*(1+$B$6)*(1+$B$7)</f>
        <v/>
      </c>
      <c r="E49" s="8" t="inlineStr">
        <is>
          <t>AWS S3</t>
        </is>
      </c>
      <c r="F49" s="14" t="n"/>
      <c r="G49" s="14" t="n"/>
      <c r="H49" s="14" t="n"/>
      <c r="I49" s="14" t="n"/>
      <c r="J49" s="14" t="n"/>
      <c r="K49" s="14" t="n"/>
      <c r="L49" s="14" t="n"/>
      <c r="M49" s="14" t="n"/>
      <c r="N49" s="15">
        <f>COUNTIF(F49:M49,"Lead")</f>
        <v/>
      </c>
      <c r="O49" s="15">
        <f>COUNTIF(F49:M49,"Interested")</f>
        <v/>
      </c>
      <c r="P49" s="8">
        <f>_xlfn.TEXTJOIN(", ",TRUE,IF(F49="Lead",F$11,""),IF(G49="Lead",G$11,""),IF(H49="Lead",H$11,""),IF(I49="Lead",I$11,""),IF(J49="Lead",J$11,""),IF(K49="Lead",K$11,""),IF(L49="Lead",L$11,""),IF(M49="Lead",M$11,""))</f>
        <v/>
      </c>
      <c r="Q49" s="14" t="n"/>
      <c r="R49" s="8">
        <f>IF(Q49&lt;&gt;"","Assigned",IF(N49=0,IF(O49=0,"Nobody","No lead"),IF(N49&gt;1,"Clash","1 lead")))</f>
        <v/>
      </c>
    </row>
    <row r="50">
      <c r="A50" s="8" t="inlineStr">
        <is>
          <t>Messaging and notifications</t>
        </is>
      </c>
      <c r="B50" s="8" t="inlineStr">
        <is>
          <t>Chat search</t>
        </is>
      </c>
      <c r="C50" s="12" t="n">
        <v>1</v>
      </c>
      <c r="D50" s="13">
        <f>C50*(1+$B$6)*(1+$B$7)</f>
        <v/>
      </c>
      <c r="E50" s="8" t="inlineStr">
        <is>
          <t>MySQL FULLTEXT</t>
        </is>
      </c>
      <c r="F50" s="14" t="n"/>
      <c r="G50" s="14" t="n"/>
      <c r="H50" s="14" t="n"/>
      <c r="I50" s="14" t="n"/>
      <c r="J50" s="14" t="n"/>
      <c r="K50" s="14" t="n"/>
      <c r="L50" s="14" t="n"/>
      <c r="M50" s="14" t="n"/>
      <c r="N50" s="15">
        <f>COUNTIF(F50:M50,"Lead")</f>
        <v/>
      </c>
      <c r="O50" s="15">
        <f>COUNTIF(F50:M50,"Interested")</f>
        <v/>
      </c>
      <c r="P50" s="8">
        <f>_xlfn.TEXTJOIN(", ",TRUE,IF(F50="Lead",F$11,""),IF(G50="Lead",G$11,""),IF(H50="Lead",H$11,""),IF(I50="Lead",I$11,""),IF(J50="Lead",J$11,""),IF(K50="Lead",K$11,""),IF(L50="Lead",L$11,""),IF(M50="Lead",M$11,""))</f>
        <v/>
      </c>
      <c r="Q50" s="14" t="n"/>
      <c r="R50" s="8">
        <f>IF(Q50&lt;&gt;"","Assigned",IF(N50=0,IF(O50=0,"Nobody","No lead"),IF(N50&gt;1,"Clash","1 lead")))</f>
        <v/>
      </c>
    </row>
    <row r="51">
      <c r="A51" s="8" t="inlineStr">
        <is>
          <t>Messaging and notifications</t>
        </is>
      </c>
      <c r="B51" s="8" t="inlineStr">
        <is>
          <t>In-app notifications</t>
        </is>
      </c>
      <c r="C51" s="12" t="n">
        <v>2</v>
      </c>
      <c r="D51" s="13">
        <f>C51*(1+$B$6)*(1+$B$7)</f>
        <v/>
      </c>
      <c r="E51" s="8" t="inlineStr">
        <is>
          <t>Spring Boot + WebSocket</t>
        </is>
      </c>
      <c r="F51" s="14" t="n"/>
      <c r="G51" s="14" t="n"/>
      <c r="H51" s="14" t="n"/>
      <c r="I51" s="14" t="n"/>
      <c r="J51" s="14" t="n"/>
      <c r="K51" s="14" t="n"/>
      <c r="L51" s="14" t="n"/>
      <c r="M51" s="14" t="n"/>
      <c r="N51" s="15">
        <f>COUNTIF(F51:M51,"Lead")</f>
        <v/>
      </c>
      <c r="O51" s="15">
        <f>COUNTIF(F51:M51,"Interested")</f>
        <v/>
      </c>
      <c r="P51" s="8">
        <f>_xlfn.TEXTJOIN(", ",TRUE,IF(F51="Lead",F$11,""),IF(G51="Lead",G$11,""),IF(H51="Lead",H$11,""),IF(I51="Lead",I$11,""),IF(J51="Lead",J$11,""),IF(K51="Lead",K$11,""),IF(L51="Lead",L$11,""),IF(M51="Lead",M$11,""))</f>
        <v/>
      </c>
      <c r="Q51" s="14" t="n"/>
      <c r="R51" s="8">
        <f>IF(Q51&lt;&gt;"","Assigned",IF(N51=0,IF(O51=0,"Nobody","No lead"),IF(N51&gt;1,"Clash","1 lead")))</f>
        <v/>
      </c>
    </row>
    <row r="52">
      <c r="A52" s="8" t="inlineStr">
        <is>
          <t>Messaging and notifications</t>
        </is>
      </c>
      <c r="B52" s="8" t="inlineStr">
        <is>
          <t>Push notifications</t>
        </is>
      </c>
      <c r="C52" s="12" t="n">
        <v>1</v>
      </c>
      <c r="D52" s="13">
        <f>C52*(1+$B$6)*(1+$B$7)</f>
        <v/>
      </c>
      <c r="E52" s="8" t="inlineStr">
        <is>
          <t>Expo Push</t>
        </is>
      </c>
      <c r="F52" s="14" t="n"/>
      <c r="G52" s="14" t="n"/>
      <c r="H52" s="14" t="n"/>
      <c r="I52" s="14" t="n"/>
      <c r="J52" s="14" t="n"/>
      <c r="K52" s="14" t="n"/>
      <c r="L52" s="14" t="n"/>
      <c r="M52" s="14" t="n"/>
      <c r="N52" s="15">
        <f>COUNTIF(F52:M52,"Lead")</f>
        <v/>
      </c>
      <c r="O52" s="15">
        <f>COUNTIF(F52:M52,"Interested")</f>
        <v/>
      </c>
      <c r="P52" s="8">
        <f>_xlfn.TEXTJOIN(", ",TRUE,IF(F52="Lead",F$11,""),IF(G52="Lead",G$11,""),IF(H52="Lead",H$11,""),IF(I52="Lead",I$11,""),IF(J52="Lead",J$11,""),IF(K52="Lead",K$11,""),IF(L52="Lead",L$11,""),IF(M52="Lead",M$11,""))</f>
        <v/>
      </c>
      <c r="Q52" s="14" t="n"/>
      <c r="R52" s="8">
        <f>IF(Q52&lt;&gt;"","Assigned",IF(N52=0,IF(O52=0,"Nobody","No lead"),IF(N52&gt;1,"Clash","1 lead")))</f>
        <v/>
      </c>
    </row>
    <row r="53">
      <c r="A53" s="8" t="inlineStr">
        <is>
          <t>Messaging and notifications</t>
        </is>
      </c>
      <c r="B53" s="8" t="inlineStr">
        <is>
          <t>SMS</t>
        </is>
      </c>
      <c r="C53" s="12" t="n">
        <v>0.5</v>
      </c>
      <c r="D53" s="13">
        <f>C53*(1+$B$6)*(1+$B$7)</f>
        <v/>
      </c>
      <c r="E53" s="8" t="inlineStr">
        <is>
          <t>Twilio</t>
        </is>
      </c>
      <c r="F53" s="14" t="n"/>
      <c r="G53" s="14" t="n"/>
      <c r="H53" s="14" t="n"/>
      <c r="I53" s="14" t="n"/>
      <c r="J53" s="14" t="n"/>
      <c r="K53" s="14" t="n"/>
      <c r="L53" s="14" t="n"/>
      <c r="M53" s="14" t="n"/>
      <c r="N53" s="15">
        <f>COUNTIF(F53:M53,"Lead")</f>
        <v/>
      </c>
      <c r="O53" s="15">
        <f>COUNTIF(F53:M53,"Interested")</f>
        <v/>
      </c>
      <c r="P53" s="8">
        <f>_xlfn.TEXTJOIN(", ",TRUE,IF(F53="Lead",F$11,""),IF(G53="Lead",G$11,""),IF(H53="Lead",H$11,""),IF(I53="Lead",I$11,""),IF(J53="Lead",J$11,""),IF(K53="Lead",K$11,""),IF(L53="Lead",L$11,""),IF(M53="Lead",M$11,""))</f>
        <v/>
      </c>
      <c r="Q53" s="14" t="n"/>
      <c r="R53" s="8">
        <f>IF(Q53&lt;&gt;"","Assigned",IF(N53=0,IF(O53=0,"Nobody","No lead"),IF(N53&gt;1,"Clash","1 lead")))</f>
        <v/>
      </c>
    </row>
    <row r="54">
      <c r="A54" s="8" t="inlineStr">
        <is>
          <t>Messaging and notifications</t>
        </is>
      </c>
      <c r="B54" s="8" t="inlineStr">
        <is>
          <t>Email</t>
        </is>
      </c>
      <c r="C54" s="12" t="n">
        <v>0.5</v>
      </c>
      <c r="D54" s="13">
        <f>C54*(1+$B$6)*(1+$B$7)</f>
        <v/>
      </c>
      <c r="E54" s="8" t="inlineStr">
        <is>
          <t>SendGrid or AWS SES</t>
        </is>
      </c>
      <c r="F54" s="14" t="n"/>
      <c r="G54" s="14" t="n"/>
      <c r="H54" s="14" t="n"/>
      <c r="I54" s="14" t="n"/>
      <c r="J54" s="14" t="n"/>
      <c r="K54" s="14" t="n"/>
      <c r="L54" s="14" t="n"/>
      <c r="M54" s="14" t="n"/>
      <c r="N54" s="15">
        <f>COUNTIF(F54:M54,"Lead")</f>
        <v/>
      </c>
      <c r="O54" s="15">
        <f>COUNTIF(F54:M54,"Interested")</f>
        <v/>
      </c>
      <c r="P54" s="8">
        <f>_xlfn.TEXTJOIN(", ",TRUE,IF(F54="Lead",F$11,""),IF(G54="Lead",G$11,""),IF(H54="Lead",H$11,""),IF(I54="Lead",I$11,""),IF(J54="Lead",J$11,""),IF(K54="Lead",K$11,""),IF(L54="Lead",L$11,""),IF(M54="Lead",M$11,""))</f>
        <v/>
      </c>
      <c r="Q54" s="14" t="n"/>
      <c r="R54" s="8">
        <f>IF(Q54&lt;&gt;"","Assigned",IF(N54=0,IF(O54=0,"Nobody","No lead"),IF(N54&gt;1,"Clash","1 lead")))</f>
        <v/>
      </c>
    </row>
    <row r="55">
      <c r="A55" s="8" t="inlineStr">
        <is>
          <t>Tools</t>
        </is>
      </c>
      <c r="B55" s="8" t="inlineStr">
        <is>
          <t>Seat Alert</t>
        </is>
      </c>
      <c r="C55" s="12" t="n">
        <v>5</v>
      </c>
      <c r="D55" s="13">
        <f>C55*(1+$B$6)*(1+$B$7)</f>
        <v/>
      </c>
      <c r="E55" s="8" t="inlineStr">
        <is>
          <t>No official API: scraping or McGill IT approval</t>
        </is>
      </c>
      <c r="F55" s="14" t="n"/>
      <c r="G55" s="14" t="n"/>
      <c r="H55" s="14" t="n"/>
      <c r="I55" s="14" t="n"/>
      <c r="J55" s="14" t="n"/>
      <c r="K55" s="14" t="n"/>
      <c r="L55" s="14" t="n"/>
      <c r="M55" s="14" t="n"/>
      <c r="N55" s="15">
        <f>COUNTIF(F55:M55,"Lead")</f>
        <v/>
      </c>
      <c r="O55" s="15">
        <f>COUNTIF(F55:M55,"Interested")</f>
        <v/>
      </c>
      <c r="P55" s="8">
        <f>_xlfn.TEXTJOIN(", ",TRUE,IF(F55="Lead",F$11,""),IF(G55="Lead",G$11,""),IF(H55="Lead",H$11,""),IF(I55="Lead",I$11,""),IF(J55="Lead",J$11,""),IF(K55="Lead",K$11,""),IF(L55="Lead",L$11,""),IF(M55="Lead",M$11,""))</f>
        <v/>
      </c>
      <c r="Q55" s="14" t="n"/>
      <c r="R55" s="8">
        <f>IF(Q55&lt;&gt;"","Assigned",IF(N55=0,IF(O55=0,"Nobody","No lead"),IF(N55&gt;1,"Clash","1 lead")))</f>
        <v/>
      </c>
    </row>
    <row r="56">
      <c r="A56" s="8" t="inlineStr">
        <is>
          <t>Tools</t>
        </is>
      </c>
      <c r="B56" s="8" t="inlineStr">
        <is>
          <t>Course catalog data</t>
        </is>
      </c>
      <c r="C56" s="12" t="n">
        <v>2</v>
      </c>
      <c r="D56" s="13">
        <f>C56*(1+$B$6)*(1+$B$7)</f>
        <v/>
      </c>
      <c r="E56" s="8" t="inlineStr">
        <is>
          <t>McGill eCalendar (no official API)</t>
        </is>
      </c>
      <c r="F56" s="14" t="n"/>
      <c r="G56" s="14" t="n"/>
      <c r="H56" s="14" t="n"/>
      <c r="I56" s="14" t="n"/>
      <c r="J56" s="14" t="n"/>
      <c r="K56" s="14" t="n"/>
      <c r="L56" s="14" t="n"/>
      <c r="M56" s="14" t="n"/>
      <c r="N56" s="15">
        <f>COUNTIF(F56:M56,"Lead")</f>
        <v/>
      </c>
      <c r="O56" s="15">
        <f>COUNTIF(F56:M56,"Interested")</f>
        <v/>
      </c>
      <c r="P56" s="8">
        <f>_xlfn.TEXTJOIN(", ",TRUE,IF(F56="Lead",F$11,""),IF(G56="Lead",G$11,""),IF(H56="Lead",H$11,""),IF(I56="Lead",I$11,""),IF(J56="Lead",J$11,""),IF(K56="Lead",K$11,""),IF(L56="Lead",L$11,""),IF(M56="Lead",M$11,""))</f>
        <v/>
      </c>
      <c r="Q56" s="14" t="n"/>
      <c r="R56" s="8">
        <f>IF(Q56&lt;&gt;"","Assigned",IF(N56=0,IF(O56=0,"Nobody","No lead"),IF(N56&gt;1,"Clash","1 lead")))</f>
        <v/>
      </c>
    </row>
    <row r="57">
      <c r="A57" s="8" t="inlineStr">
        <is>
          <t>Tools</t>
        </is>
      </c>
      <c r="B57" s="8" t="inlineStr">
        <is>
          <t>Course Averages</t>
        </is>
      </c>
      <c r="C57" s="12" t="n">
        <v>3</v>
      </c>
      <c r="D57" s="13">
        <f>C57*(1+$B$6)*(1+$B$7)</f>
        <v/>
      </c>
      <c r="E57" s="8" t="inlineStr">
        <is>
          <t>Student-submitted data</t>
        </is>
      </c>
      <c r="F57" s="14" t="n"/>
      <c r="G57" s="14" t="n"/>
      <c r="H57" s="14" t="n"/>
      <c r="I57" s="14" t="n"/>
      <c r="J57" s="14" t="n"/>
      <c r="K57" s="14" t="n"/>
      <c r="L57" s="14" t="n"/>
      <c r="M57" s="14" t="n"/>
      <c r="N57" s="15">
        <f>COUNTIF(F57:M57,"Lead")</f>
        <v/>
      </c>
      <c r="O57" s="15">
        <f>COUNTIF(F57:M57,"Interested")</f>
        <v/>
      </c>
      <c r="P57" s="8">
        <f>_xlfn.TEXTJOIN(", ",TRUE,IF(F57="Lead",F$11,""),IF(G57="Lead",G$11,""),IF(H57="Lead",H$11,""),IF(I57="Lead",I$11,""),IF(J57="Lead",J$11,""),IF(K57="Lead",K$11,""),IF(L57="Lead",L$11,""),IF(M57="Lead",M$11,""))</f>
        <v/>
      </c>
      <c r="Q57" s="14" t="n"/>
      <c r="R57" s="8">
        <f>IF(Q57&lt;&gt;"","Assigned",IF(N57=0,IF(O57=0,"Nobody","No lead"),IF(N57&gt;1,"Clash","1 lead")))</f>
        <v/>
      </c>
    </row>
    <row r="58">
      <c r="A58" s="8" t="inlineStr">
        <is>
          <t>Tools</t>
        </is>
      </c>
      <c r="B58" s="8" t="inlineStr">
        <is>
          <t>Campus map</t>
        </is>
      </c>
      <c r="C58" s="12" t="n">
        <v>1</v>
      </c>
      <c r="D58" s="13">
        <f>C58*(1+$B$6)*(1+$B$7)</f>
        <v/>
      </c>
      <c r="E58" s="8" t="inlineStr">
        <is>
          <t>react-native-maps</t>
        </is>
      </c>
      <c r="F58" s="14" t="n"/>
      <c r="G58" s="14" t="n"/>
      <c r="H58" s="14" t="n"/>
      <c r="I58" s="14" t="n"/>
      <c r="J58" s="14" t="n"/>
      <c r="K58" s="14" t="n"/>
      <c r="L58" s="14" t="n"/>
      <c r="M58" s="14" t="n"/>
      <c r="N58" s="15">
        <f>COUNTIF(F58:M58,"Lead")</f>
        <v/>
      </c>
      <c r="O58" s="15">
        <f>COUNTIF(F58:M58,"Interested")</f>
        <v/>
      </c>
      <c r="P58" s="8">
        <f>_xlfn.TEXTJOIN(", ",TRUE,IF(F58="Lead",F$11,""),IF(G58="Lead",G$11,""),IF(H58="Lead",H$11,""),IF(I58="Lead",I$11,""),IF(J58="Lead",J$11,""),IF(K58="Lead",K$11,""),IF(L58="Lead",L$11,""),IF(M58="Lead",M$11,""))</f>
        <v/>
      </c>
      <c r="Q58" s="14" t="n"/>
      <c r="R58" s="8">
        <f>IF(Q58&lt;&gt;"","Assigned",IF(N58=0,IF(O58=0,"Nobody","No lead"),IF(N58&gt;1,"Clash","1 lead")))</f>
        <v/>
      </c>
    </row>
    <row r="59">
      <c r="A59" s="8" t="inlineStr">
        <is>
          <t>Tools</t>
        </is>
      </c>
      <c r="B59" s="8" t="inlineStr">
        <is>
          <t>McGill links redirection</t>
        </is>
      </c>
      <c r="C59" s="12" t="n">
        <v>0.5</v>
      </c>
      <c r="D59" s="13">
        <f>C59*(1+$B$6)*(1+$B$7)</f>
        <v/>
      </c>
      <c r="E59" s="8" t="inlineStr">
        <is>
          <t>expo-web-browser</t>
        </is>
      </c>
      <c r="F59" s="14" t="n"/>
      <c r="G59" s="14" t="n"/>
      <c r="H59" s="14" t="n"/>
      <c r="I59" s="14" t="n"/>
      <c r="J59" s="14" t="n"/>
      <c r="K59" s="14" t="n"/>
      <c r="L59" s="14" t="n"/>
      <c r="M59" s="14" t="n"/>
      <c r="N59" s="15">
        <f>COUNTIF(F59:M59,"Lead")</f>
        <v/>
      </c>
      <c r="O59" s="15">
        <f>COUNTIF(F59:M59,"Interested")</f>
        <v/>
      </c>
      <c r="P59" s="8">
        <f>_xlfn.TEXTJOIN(", ",TRUE,IF(F59="Lead",F$11,""),IF(G59="Lead",G$11,""),IF(H59="Lead",H$11,""),IF(I59="Lead",I$11,""),IF(J59="Lead",J$11,""),IF(K59="Lead",K$11,""),IF(L59="Lead",L$11,""),IF(M59="Lead",M$11,""))</f>
        <v/>
      </c>
      <c r="Q59" s="14" t="n"/>
      <c r="R59" s="8">
        <f>IF(Q59&lt;&gt;"","Assigned",IF(N59=0,IF(O59=0,"Nobody","No lead"),IF(N59&gt;1,"Clash","1 lead")))</f>
        <v/>
      </c>
    </row>
    <row r="60">
      <c r="A60" s="8" t="inlineStr">
        <is>
          <t>Other</t>
        </is>
      </c>
      <c r="B60" s="8" t="inlineStr">
        <is>
          <t>UI</t>
        </is>
      </c>
      <c r="C60" s="12" t="n">
        <v>8</v>
      </c>
      <c r="D60" s="13">
        <f>C60*(1+$B$6)*(1+$B$7)</f>
        <v/>
      </c>
      <c r="E60" s="8" t="inlineStr">
        <is>
          <t>Expo Router + React Native Paper</t>
        </is>
      </c>
      <c r="F60" s="14" t="n"/>
      <c r="G60" s="14" t="n"/>
      <c r="H60" s="14" t="n"/>
      <c r="I60" s="14" t="n"/>
      <c r="J60" s="14" t="n"/>
      <c r="K60" s="14" t="n"/>
      <c r="L60" s="14" t="n"/>
      <c r="M60" s="14" t="n"/>
      <c r="N60" s="15">
        <f>COUNTIF(F60:M60,"Lead")</f>
        <v/>
      </c>
      <c r="O60" s="15">
        <f>COUNTIF(F60:M60,"Interested")</f>
        <v/>
      </c>
      <c r="P60" s="8">
        <f>_xlfn.TEXTJOIN(", ",TRUE,IF(F60="Lead",F$11,""),IF(G60="Lead",G$11,""),IF(H60="Lead",H$11,""),IF(I60="Lead",I$11,""),IF(J60="Lead",J$11,""),IF(K60="Lead",K$11,""),IF(L60="Lead",L$11,""),IF(M60="Lead",M$11,""))</f>
        <v/>
      </c>
      <c r="Q60" s="14" t="n"/>
      <c r="R60" s="8">
        <f>IF(Q60&lt;&gt;"","Assigned",IF(N60=0,IF(O60=0,"Nobody","No lead"),IF(N60&gt;1,"Clash","1 lead")))</f>
        <v/>
      </c>
    </row>
    <row r="61">
      <c r="A61" s="8" t="inlineStr">
        <is>
          <t>Other</t>
        </is>
      </c>
      <c r="B61" s="8" t="inlineStr">
        <is>
          <t>Payment system</t>
        </is>
      </c>
      <c r="C61" s="12" t="n">
        <v>1.5</v>
      </c>
      <c r="D61" s="13">
        <f>C61*(1+$B$6)*(1+$B$7)</f>
        <v/>
      </c>
      <c r="E61" s="8" t="inlineStr">
        <is>
          <t>Stripe Payment Links</t>
        </is>
      </c>
      <c r="F61" s="14" t="n"/>
      <c r="G61" s="14" t="n"/>
      <c r="H61" s="14" t="n"/>
      <c r="I61" s="14" t="n"/>
      <c r="J61" s="14" t="n"/>
      <c r="K61" s="14" t="n"/>
      <c r="L61" s="14" t="n"/>
      <c r="M61" s="14" t="n"/>
      <c r="N61" s="15">
        <f>COUNTIF(F61:M61,"Lead")</f>
        <v/>
      </c>
      <c r="O61" s="15">
        <f>COUNTIF(F61:M61,"Interested")</f>
        <v/>
      </c>
      <c r="P61" s="8">
        <f>_xlfn.TEXTJOIN(", ",TRUE,IF(F61="Lead",F$11,""),IF(G61="Lead",G$11,""),IF(H61="Lead",H$11,""),IF(I61="Lead",I$11,""),IF(J61="Lead",J$11,""),IF(K61="Lead",K$11,""),IF(L61="Lead",L$11,""),IF(M61="Lead",M$11,""))</f>
        <v/>
      </c>
      <c r="Q61" s="14" t="n"/>
      <c r="R61" s="8">
        <f>IF(Q61&lt;&gt;"","Assigned",IF(N61=0,IF(O61=0,"Nobody","No lead"),IF(N61&gt;1,"Clash","1 lead")))</f>
        <v/>
      </c>
    </row>
    <row r="63">
      <c r="B63" s="3" t="inlineStr">
        <is>
          <t>Workload per person (dev-days)</t>
        </is>
      </c>
    </row>
    <row r="64">
      <c r="B64" s="16" t="inlineStr">
        <is>
          <t>Wants to lead (days)</t>
        </is>
      </c>
      <c r="F64" s="13">
        <f>SUMIF(F12:F61,"Lead",$D$12:$D$61)</f>
        <v/>
      </c>
      <c r="G64" s="13">
        <f>SUMIF(G12:G61,"Lead",$D$12:$D$61)</f>
        <v/>
      </c>
      <c r="H64" s="13">
        <f>SUMIF(H12:H61,"Lead",$D$12:$D$61)</f>
        <v/>
      </c>
      <c r="I64" s="13">
        <f>SUMIF(I12:I61,"Lead",$D$12:$D$61)</f>
        <v/>
      </c>
      <c r="J64" s="13">
        <f>SUMIF(J12:J61,"Lead",$D$12:$D$61)</f>
        <v/>
      </c>
      <c r="K64" s="13">
        <f>SUMIF(K12:K61,"Lead",$D$12:$D$61)</f>
        <v/>
      </c>
      <c r="L64" s="13">
        <f>SUMIF(L12:L61,"Lead",$D$12:$D$61)</f>
        <v/>
      </c>
      <c r="M64" s="13">
        <f>SUMIF(M12:M61,"Lead",$D$12:$D$61)</f>
        <v/>
      </c>
    </row>
    <row r="65">
      <c r="B65" s="16" t="inlineStr">
        <is>
          <t>Interested (days)</t>
        </is>
      </c>
      <c r="F65" s="13">
        <f>SUMIF(F12:F61,"Interested",$D$12:$D$61)</f>
        <v/>
      </c>
      <c r="G65" s="13">
        <f>SUMIF(G12:G61,"Interested",$D$12:$D$61)</f>
        <v/>
      </c>
      <c r="H65" s="13">
        <f>SUMIF(H12:H61,"Interested",$D$12:$D$61)</f>
        <v/>
      </c>
      <c r="I65" s="13">
        <f>SUMIF(I12:I61,"Interested",$D$12:$D$61)</f>
        <v/>
      </c>
      <c r="J65" s="13">
        <f>SUMIF(J12:J61,"Interested",$D$12:$D$61)</f>
        <v/>
      </c>
      <c r="K65" s="13">
        <f>SUMIF(K12:K61,"Interested",$D$12:$D$61)</f>
        <v/>
      </c>
      <c r="L65" s="13">
        <f>SUMIF(L12:L61,"Interested",$D$12:$D$61)</f>
        <v/>
      </c>
      <c r="M65" s="13">
        <f>SUMIF(M12:M61,"Interested",$D$12:$D$61)</f>
        <v/>
      </c>
    </row>
    <row r="66">
      <c r="B66" s="16" t="inlineStr">
        <is>
          <t>Assigned as Owner (days)</t>
        </is>
      </c>
      <c r="F66" s="13">
        <f>SUMIF($Q$12:$Q$61,F$11,$D$12:$D$61)</f>
        <v/>
      </c>
      <c r="G66" s="13">
        <f>SUMIF($Q$12:$Q$61,G$11,$D$12:$D$61)</f>
        <v/>
      </c>
      <c r="H66" s="13">
        <f>SUMIF($Q$12:$Q$61,H$11,$D$12:$D$61)</f>
        <v/>
      </c>
      <c r="I66" s="13">
        <f>SUMIF($Q$12:$Q$61,I$11,$D$12:$D$61)</f>
        <v/>
      </c>
      <c r="J66" s="13">
        <f>SUMIF($Q$12:$Q$61,J$11,$D$12:$D$61)</f>
        <v/>
      </c>
      <c r="K66" s="13">
        <f>SUMIF($Q$12:$Q$61,K$11,$D$12:$D$61)</f>
        <v/>
      </c>
      <c r="L66" s="13">
        <f>SUMIF($Q$12:$Q$61,L$11,$D$12:$D$61)</f>
        <v/>
      </c>
      <c r="M66" s="13">
        <f>SUMIF($Q$12:$Q$61,M$11,$D$12:$D$61)</f>
        <v/>
      </c>
    </row>
    <row r="67">
      <c r="B67" s="16" t="inlineStr">
        <is>
          <t>Fair share (days)</t>
        </is>
      </c>
      <c r="F67" s="13">
        <f>$B$9</f>
        <v/>
      </c>
      <c r="G67" s="13">
        <f>$B$9</f>
        <v/>
      </c>
      <c r="H67" s="13">
        <f>$B$9</f>
        <v/>
      </c>
      <c r="I67" s="13">
        <f>$B$9</f>
        <v/>
      </c>
      <c r="J67" s="13">
        <f>$B$9</f>
        <v/>
      </c>
      <c r="K67" s="13">
        <f>$B$9</f>
        <v/>
      </c>
      <c r="L67" s="13">
        <f>$B$9</f>
        <v/>
      </c>
      <c r="M67" s="13">
        <f>$B$9</f>
        <v/>
      </c>
    </row>
    <row r="68">
      <c r="B68" s="16" t="inlineStr">
        <is>
          <t>Owner days minus fair share</t>
        </is>
      </c>
      <c r="F68" s="13">
        <f>F66-F67</f>
        <v/>
      </c>
      <c r="G68" s="13">
        <f>G66-G67</f>
        <v/>
      </c>
      <c r="H68" s="13">
        <f>H66-H67</f>
        <v/>
      </c>
      <c r="I68" s="13">
        <f>I66-I67</f>
        <v/>
      </c>
      <c r="J68" s="13">
        <f>J66-J67</f>
        <v/>
      </c>
      <c r="K68" s="13">
        <f>K66-K67</f>
        <v/>
      </c>
      <c r="L68" s="13">
        <f>L66-L67</f>
        <v/>
      </c>
      <c r="M68" s="13">
        <f>M66-M67</f>
        <v/>
      </c>
    </row>
    <row r="69">
      <c r="B69" s="2" t="inlineStr">
        <is>
          <t>Red = more than 5 days over the fair share; orange = more than 5 days under. Assigned total for the team:</t>
        </is>
      </c>
      <c r="C69" s="17">
        <f>SUMIF(R12:R61,"Assigned",D12:D61)</f>
        <v/>
      </c>
    </row>
  </sheetData>
  <conditionalFormatting sqref="F12:M61">
    <cfRule type="cellIs" priority="1" operator="equal" dxfId="0">
      <formula>"Lead"</formula>
    </cfRule>
    <cfRule type="cellIs" priority="2" operator="equal" dxfId="1">
      <formula>"Interested"</formula>
    </cfRule>
  </conditionalFormatting>
  <conditionalFormatting sqref="R12:R61">
    <cfRule type="cellIs" priority="3" operator="equal" dxfId="2">
      <formula>"Nobody"</formula>
    </cfRule>
    <cfRule type="cellIs" priority="4" operator="equal" dxfId="2">
      <formula>"No lead"</formula>
    </cfRule>
    <cfRule type="cellIs" priority="5" operator="equal" dxfId="3">
      <formula>"Clash"</formula>
    </cfRule>
    <cfRule type="cellIs" priority="6" operator="equal" dxfId="4">
      <formula>"Assigned"</formula>
    </cfRule>
  </conditionalFormatting>
  <conditionalFormatting sqref="F68:M68">
    <cfRule type="expression" priority="7" dxfId="3">
      <formula>F68&gt;5</formula>
    </cfRule>
    <cfRule type="expression" priority="8" dxfId="2">
      <formula>F68&lt;-5</formula>
    </cfRule>
  </conditionalFormatting>
  <dataValidations count="2">
    <dataValidation sqref="F12:M61" showDropDown="0" showInputMessage="0" showErrorMessage="0" allowBlank="1" type="list">
      <formula1>"Lead,Interested"</formula1>
    </dataValidation>
    <dataValidation sqref="Q12:Q61" showDropDown="0" showInputMessage="0" showErrorMessage="0" allowBlank="1" type="list">
      <formula1>=$F$11:$M$11</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2026-10-28T03:38:02Z</dcterms:created>
  <dcterms:modified xsi:type="dcterms:W3CDTF">2026-10-28T03:38:02Z</dcterms:modified>
</cp:coreProperties>
</file>